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 Checklist" sheetId="2" state="visible" r:id="rId2"/>
    <sheet xmlns:r="http://schemas.openxmlformats.org/officeDocument/2006/relationships" name="Base Stats" sheetId="3" state="visible" r:id="rId3"/>
    <sheet xmlns:r="http://schemas.openxmlformats.org/officeDocument/2006/relationships" name="Sub-Stats &amp; Formulas" sheetId="4" state="visible" r:id="rId4"/>
    <sheet xmlns:r="http://schemas.openxmlformats.org/officeDocument/2006/relationships" name="Quasi-Stats" sheetId="5" state="visible" r:id="rId5"/>
    <sheet xmlns:r="http://schemas.openxmlformats.org/officeDocument/2006/relationships" name="Leveling &amp; Stat Costs" sheetId="6" state="visible" r:id="rId6"/>
    <sheet xmlns:r="http://schemas.openxmlformats.org/officeDocument/2006/relationships" name="Classes" sheetId="7" state="visible" r:id="rId7"/>
    <sheet xmlns:r="http://schemas.openxmlformats.org/officeDocument/2006/relationships" name="Equipment Slots" sheetId="8" state="visible" r:id="rId8"/>
    <sheet xmlns:r="http://schemas.openxmlformats.org/officeDocument/2006/relationships" name="Test Items (Template)" sheetId="9" state="visible" r:id="rId9"/>
    <sheet xmlns:r="http://schemas.openxmlformats.org/officeDocument/2006/relationships" name="Enemy Data (Template)" sheetId="10" state="visible" r:id="rId10"/>
    <sheet xmlns:r="http://schemas.openxmlformats.org/officeDocument/2006/relationships" name="Skills" sheetId="11" state="visible" r:id="rId11"/>
    <sheet xmlns:r="http://schemas.openxmlformats.org/officeDocument/2006/relationships" name="Roadmap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color rgb="FF666666"/>
      <sz val="10"/>
    </font>
  </fonts>
  <fills count="8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FFF2CC"/>
        <bgColor rgb="FFFFE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7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5" min="1" max="1"/>
    <col width="70" customWidth="1" style="25" min="2" max="2"/>
  </cols>
  <sheetData>
    <row r="1" ht="19.5" customHeight="1" s="26">
      <c r="A1" s="27" t="inlineStr">
        <is>
          <t>MMO Project — Design Data Tracker</t>
        </is>
      </c>
    </row>
    <row r="2" ht="15" customHeight="1" s="26">
      <c r="A2" s="28" t="inlineStr">
        <is>
          <t>Companion spreadsheet to the Game Design Document (Word).</t>
        </is>
      </c>
    </row>
    <row r="3" ht="15" customHeight="1" s="26">
      <c r="A3" s="28" t="inlineStr">
        <is>
          <t>Last updated: September 7, 2026</t>
        </is>
      </c>
    </row>
    <row r="5" ht="15" customHeight="1" s="26">
      <c r="A5" s="29" t="inlineStr">
        <is>
          <t>Sheet</t>
        </is>
      </c>
      <c r="B5" s="29" t="inlineStr">
        <is>
          <t>Purpose</t>
        </is>
      </c>
    </row>
    <row r="6" ht="15" customHeight="1" s="26">
      <c r="A6" s="30" t="inlineStr">
        <is>
          <t>Feature Checklist</t>
        </is>
      </c>
      <c r="B6" s="30" t="inlineStr">
        <is>
          <t>Implementation status of every system, by category. Live counts below.</t>
        </is>
      </c>
    </row>
    <row r="7" ht="15" customHeight="1" s="26">
      <c r="A7" s="30" t="inlineStr">
        <is>
          <t>Base Stats</t>
        </is>
      </c>
      <c r="B7" s="30" t="inlineStr">
        <is>
          <t>The six base stats: full effect reference vs. what's modeled today.</t>
        </is>
      </c>
    </row>
    <row r="8" ht="15" customHeight="1" s="26">
      <c r="A8" s="30" t="inlineStr">
        <is>
          <t>Sub-Stats &amp; Formulas</t>
        </is>
      </c>
      <c r="B8" s="30" t="inlineStr">
        <is>
          <t>Derived combat stats and the exact formulas currently implemented, including hit-chance/accuracy resolution and physical/magical damage mitigation.</t>
        </is>
      </c>
    </row>
    <row r="9" ht="15" customHeight="1" s="26">
      <c r="A9" s="30" t="inlineStr">
        <is>
          <t>Quasi-Stats</t>
        </is>
      </c>
      <c r="B9" s="30" t="inlineStr">
        <is>
          <t>Values not shown in a stat panel but that still measurably affect gameplay.</t>
        </is>
      </c>
    </row>
    <row r="10" ht="23.25" customHeight="1" s="26">
      <c r="A10" s="30" t="inlineStr">
        <is>
          <t>Leveling &amp; Stat Costs</t>
        </is>
      </c>
      <c r="B10" s="30" t="inlineStr">
        <is>
          <t>Real RO formulas for stat points per level and stat raise cost — now implemented in code exactly as documented here.</t>
        </is>
      </c>
    </row>
    <row r="11" ht="15" customHeight="1" s="26">
      <c r="A11" s="30" t="inlineStr">
        <is>
          <t>Classes</t>
        </is>
      </c>
      <c r="B11" s="30" t="inlineStr">
        <is>
          <t>The six base classes and evolution status.</t>
        </is>
      </c>
    </row>
    <row r="12" ht="15" customHeight="1" s="26">
      <c r="A12" s="30" t="inlineStr">
        <is>
          <t>Equipment Slots</t>
        </is>
      </c>
      <c r="B12" s="30" t="inlineStr">
        <is>
          <t>Slot list, capacity, and multi-slot rules.</t>
        </is>
      </c>
    </row>
    <row r="13" ht="15" customHeight="1" s="26">
      <c r="A13" s="30" t="inlineStr">
        <is>
          <t>Test Items (Template)</t>
        </is>
      </c>
      <c r="B13" s="30" t="inlineStr">
        <is>
          <t>Fill-in template matching ItemDefinition's fields, with one example row.</t>
        </is>
      </c>
    </row>
    <row r="14" ht="15" customHeight="1" s="26">
      <c r="A14" s="30" t="inlineStr">
        <is>
          <t>Enemy Data (Template)</t>
        </is>
      </c>
      <c r="B14" s="30" t="inlineStr">
        <is>
          <t>Fill-in template matching CharacterStatsDefinition/EnemyController fields.</t>
        </is>
      </c>
    </row>
    <row r="15" ht="15" customHeight="1" s="26">
      <c r="A15" s="30" t="inlineStr">
        <is>
          <t>Skills</t>
        </is>
      </c>
      <c r="B15" s="30" t="inlineStr">
        <is>
          <t>The four test skills, covering both effect types (Damage/Heal) and target scopes.</t>
        </is>
      </c>
    </row>
    <row r="16" ht="15" customHeight="1" s="26">
      <c r="A16" s="30" t="inlineStr">
        <is>
          <t>Roadmap</t>
        </is>
      </c>
      <c r="B16" s="30" t="inlineStr">
        <is>
          <t>Prioritized list of planned work, by term.</t>
        </is>
      </c>
    </row>
    <row r="19" ht="15" customHeight="1" s="26">
      <c r="A19" s="31" t="inlineStr">
        <is>
          <t>Legend</t>
        </is>
      </c>
    </row>
    <row r="20" ht="15" customHeight="1" s="26">
      <c r="A20" s="32" t="inlineStr">
        <is>
          <t>Done</t>
        </is>
      </c>
    </row>
    <row r="21" ht="15" customHeight="1" s="26">
      <c r="A21" s="33" t="inlineStr">
        <is>
          <t>Partial</t>
        </is>
      </c>
    </row>
    <row r="22" ht="15" customHeight="1" s="26">
      <c r="A22" s="34" t="inlineStr">
        <is>
          <t>Planned</t>
        </is>
      </c>
    </row>
    <row r="23" ht="15" customHeight="1" s="26">
      <c r="A23" s="35" t="inlineStr">
        <is>
          <t>Out of scope (documented, not planned)</t>
        </is>
      </c>
    </row>
    <row r="24" ht="15" customHeight="1" s="26">
      <c r="A24" s="36" t="inlineStr">
        <is>
          <t>Example / fill-in row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44" customWidth="1" style="25" min="2" max="2"/>
    <col width="12" customWidth="1" style="25" min="3" max="3"/>
    <col width="46" customWidth="1" style="25" min="4" max="4"/>
  </cols>
  <sheetData>
    <row r="1" ht="19.5" customHeight="1" s="26">
      <c r="A1" s="27" t="inlineStr">
        <is>
          <t>Feature Checklist</t>
        </is>
      </c>
    </row>
    <row r="3" ht="15" customHeight="1" s="26">
      <c r="A3" s="31" t="inlineStr">
        <is>
          <t>Done</t>
        </is>
      </c>
      <c r="B3" s="37">
        <f>COUNTIF(C9:C200,"Done")</f>
        <v/>
      </c>
    </row>
    <row r="4" ht="15" customHeight="1" s="26">
      <c r="A4" s="31" t="inlineStr">
        <is>
          <t>Partial</t>
        </is>
      </c>
      <c r="B4" s="37">
        <f>COUNTIF(C9:C200,"Partial")</f>
        <v/>
      </c>
    </row>
    <row r="5" ht="15" customHeight="1" s="26">
      <c r="A5" s="31" t="inlineStr">
        <is>
          <t>Planned</t>
        </is>
      </c>
      <c r="B5" s="37">
        <f>COUNTIF(C9:C200,"Planned")</f>
        <v/>
      </c>
    </row>
    <row r="8" ht="15" customHeight="1" s="26">
      <c r="A8" s="29" t="inlineStr">
        <is>
          <t>Category</t>
        </is>
      </c>
      <c r="B8" s="29" t="inlineStr">
        <is>
          <t>Feature</t>
        </is>
      </c>
      <c r="C8" s="29" t="inlineStr">
        <is>
          <t>Status</t>
        </is>
      </c>
      <c r="D8" s="29" t="inlineStr">
        <is>
          <t>Notes</t>
        </is>
      </c>
    </row>
    <row r="9" ht="15" customHeight="1" s="26">
      <c r="A9" s="30" t="inlineStr">
        <is>
          <t>Movement &amp; Camera</t>
        </is>
      </c>
      <c r="B9" s="30" t="inlineStr">
        <is>
          <t>WASD / gamepad / click-to-move, camera-relative</t>
        </is>
      </c>
      <c r="C9" s="38" t="inlineStr">
        <is>
          <t>Done</t>
        </is>
      </c>
      <c r="D9" s="30" t="n"/>
    </row>
    <row r="10" ht="15" customHeight="1" s="26">
      <c r="A10" s="30" t="inlineStr">
        <is>
          <t>Movement &amp; Camera</t>
        </is>
      </c>
      <c r="B10" s="30" t="inlineStr">
        <is>
          <t>Isometric camera: rotation, zoom, smooth follow</t>
        </is>
      </c>
      <c r="C10" s="38" t="inlineStr">
        <is>
          <t>Done</t>
        </is>
      </c>
      <c r="D10" s="30" t="n"/>
    </row>
    <row r="11" ht="15" customHeight="1" s="26">
      <c r="A11" s="30" t="inlineStr">
        <is>
          <t>Movement &amp; Camera</t>
        </is>
      </c>
      <c r="B11" s="30" t="inlineStr">
        <is>
          <t>Grid-based (SQM) movement</t>
        </is>
      </c>
      <c r="C11" s="39" t="inlineStr">
        <is>
          <t>Planned</t>
        </is>
      </c>
      <c r="D11" s="30" t="inlineStr">
        <is>
          <t>Prototyped, deliberately deferred — see GDD 6.4</t>
        </is>
      </c>
    </row>
    <row r="12" ht="15" customHeight="1" s="26">
      <c r="A12" s="30" t="inlineStr">
        <is>
          <t>Character Stats</t>
        </is>
      </c>
      <c r="B12" s="30" t="inlineStr">
        <is>
          <t>Base stats (STR/AGI/VIT/INT/DEX/LUK)</t>
        </is>
      </c>
      <c r="C12" s="38" t="inlineStr">
        <is>
          <t>Done</t>
        </is>
      </c>
      <c r="D12" s="30" t="n"/>
    </row>
    <row r="13" ht="15" customHeight="1" s="26">
      <c r="A13" s="30" t="inlineStr">
        <is>
          <t>Character Stats</t>
        </is>
      </c>
      <c r="B13" s="30" t="inlineStr">
        <is>
          <t>Sub-stats (ATK/MATK/DEF/MDEF/HIT/FLEE/CRIT)</t>
        </is>
      </c>
      <c r="C13" s="38" t="inlineStr">
        <is>
          <t>Done</t>
        </is>
      </c>
      <c r="D13" s="30" t="inlineStr">
        <is>
          <t>See Sub-Stats &amp; Formulas sheet</t>
        </is>
      </c>
    </row>
    <row r="14" ht="15" customHeight="1" s="26">
      <c r="A14" s="30" t="inlineStr">
        <is>
          <t>Character Stats</t>
        </is>
      </c>
      <c r="B14" s="30" t="inlineStr">
        <is>
          <t>ASPD</t>
        </is>
      </c>
      <c r="C14" s="39" t="inlineStr">
        <is>
          <t>Done</t>
        </is>
      </c>
      <c r="D14" s="30" t="inlineStr">
        <is>
          <t>AttackSpeedCalculator + CharacterStatsDefinition.BaseAttackSpeed, AGI/DEX-scaled per real RO formula</t>
        </is>
      </c>
    </row>
    <row r="15" ht="15" customHeight="1" s="26">
      <c r="A15" s="30" t="inlineStr">
        <is>
          <t>Character Stats</t>
        </is>
      </c>
      <c r="B15" s="30" t="inlineStr">
        <is>
          <t>Stat point allocation UI</t>
        </is>
      </c>
      <c r="C15" s="38" t="inlineStr">
        <is>
          <t>Done</t>
        </is>
      </c>
      <c r="D15" s="30" t="n"/>
    </row>
    <row r="16" ht="15" customHeight="1" s="26">
      <c r="A16" s="30" t="inlineStr">
        <is>
          <t>Character Stats</t>
        </is>
      </c>
      <c r="B16" s="30" t="inlineStr">
        <is>
          <t>Real stat point cost curve</t>
        </is>
      </c>
      <c r="C16" s="39" t="inlineStr">
        <is>
          <t>Done</t>
        </is>
      </c>
      <c r="D16" s="30" t="inlineStr">
        <is>
          <t>RagnarokStatPointCostStrategy: floor((X-1)/10)+2, real iRO Wiki Classic curve</t>
        </is>
      </c>
    </row>
    <row r="17" ht="15" customHeight="1" s="26">
      <c r="A17" s="30" t="inlineStr">
        <is>
          <t>Progression</t>
        </is>
      </c>
      <c r="B17" s="30" t="inlineStr">
        <is>
          <t>Base Level &amp; experience</t>
        </is>
      </c>
      <c r="C17" s="38" t="inlineStr">
        <is>
          <t>Done</t>
        </is>
      </c>
      <c r="D17" s="30" t="n"/>
    </row>
    <row r="18" ht="15" customHeight="1" s="26">
      <c r="A18" s="30" t="inlineStr">
        <is>
          <t>Progression</t>
        </is>
      </c>
      <c r="B18" s="30" t="inlineStr">
        <is>
          <t>Job Level &amp; experience</t>
        </is>
      </c>
      <c r="C18" s="38" t="inlineStr">
        <is>
          <t>Done</t>
        </is>
      </c>
      <c r="D18" s="30" t="inlineStr">
        <is>
          <t>Grants skill points; no skills to spend them on yet</t>
        </is>
      </c>
    </row>
    <row r="19" ht="15" customHeight="1" s="26">
      <c r="A19" s="30" t="inlineStr">
        <is>
          <t>Progression</t>
        </is>
      </c>
      <c r="B19" s="30" t="inlineStr">
        <is>
          <t>Real experience curves</t>
        </is>
      </c>
      <c r="C19" s="39" t="inlineStr">
        <is>
          <t>Partial</t>
        </is>
      </c>
      <c r="D19" s="30" t="inlineStr">
        <is>
          <t>Base level: real iRO Wiki Classic table implemented 2026-09-18 (RealRagnarokExperienceCurve). Job level (LinearJobExperienceCurve) still a flat placeholder.</t>
        </is>
      </c>
    </row>
    <row r="20" ht="15" customHeight="1" s="26">
      <c r="A20" s="30" t="inlineStr">
        <is>
          <t>Progression</t>
        </is>
      </c>
      <c r="B20" s="30" t="inlineStr">
        <is>
          <t>Class system (6 base classes)</t>
        </is>
      </c>
      <c r="C20" s="38" t="inlineStr">
        <is>
          <t>Done</t>
        </is>
      </c>
      <c r="D20" s="30" t="n"/>
    </row>
    <row r="21" ht="15" customHeight="1" s="26">
      <c r="A21" s="30" t="inlineStr">
        <is>
          <t>Progression</t>
        </is>
      </c>
      <c r="B21" s="30" t="inlineStr">
        <is>
          <t>Class evolution / promotion</t>
        </is>
      </c>
      <c r="C21" s="39" t="inlineStr">
        <is>
          <t>Planned</t>
        </is>
      </c>
      <c r="D21" s="30" t="n"/>
    </row>
    <row r="22" ht="15" customHeight="1" s="26">
      <c r="A22" s="30" t="inlineStr">
        <is>
          <t>Combat</t>
        </is>
      </c>
      <c r="B22" s="30" t="inlineStr">
        <is>
          <t>Target selection + auto-attack</t>
        </is>
      </c>
      <c r="C22" s="38" t="inlineStr">
        <is>
          <t>Done</t>
        </is>
      </c>
      <c r="D22" s="30" t="n"/>
    </row>
    <row r="23" ht="15" customHeight="1" s="26">
      <c r="A23" s="30" t="inlineStr">
        <is>
          <t>Combat</t>
        </is>
      </c>
      <c r="B23" s="30" t="inlineStr">
        <is>
          <t>Enemy AI (Idle/Chase/Attack, aggro/leash)</t>
        </is>
      </c>
      <c r="C23" s="38" t="inlineStr">
        <is>
          <t>Done</t>
        </is>
      </c>
      <c r="D23" s="30" t="n"/>
    </row>
    <row r="24" ht="15" customHeight="1" s="26">
      <c r="A24" s="30" t="inlineStr">
        <is>
          <t>Combat</t>
        </is>
      </c>
      <c r="B24" s="30" t="inlineStr">
        <is>
          <t>Damage calculation (ATK vs DEF)</t>
        </is>
      </c>
      <c r="C24" s="38" t="inlineStr">
        <is>
          <t>Done</t>
        </is>
      </c>
      <c r="D24" s="30" t="n"/>
    </row>
    <row r="25" ht="15" customHeight="1" s="26">
      <c r="A25" s="30" t="inlineStr">
        <is>
          <t>Combat</t>
        </is>
      </c>
      <c r="B25" s="30" t="inlineStr">
        <is>
          <t>Hit/Flee resolution in damage</t>
        </is>
      </c>
      <c r="C25" s="39" t="inlineStr">
        <is>
          <t>Done</t>
        </is>
      </c>
      <c r="D25" s="30" t="inlineStr">
        <is>
          <t>HitChanceCalculator.RollHit: 100+(Hit-Flee)%, clamped 5-95%</t>
        </is>
      </c>
    </row>
    <row r="26" ht="15" customHeight="1" s="26">
      <c r="A26" s="30" t="inlineStr">
        <is>
          <t>Combat</t>
        </is>
      </c>
      <c r="B26" s="30" t="inlineStr">
        <is>
          <t>Player death &amp; respawn</t>
        </is>
      </c>
      <c r="C26" s="38" t="inlineStr">
        <is>
          <t>Done</t>
        </is>
      </c>
      <c r="D26" s="30" t="n"/>
    </row>
    <row r="27" ht="15" customHeight="1" s="26">
      <c r="A27" s="30" t="inlineStr">
        <is>
          <t>Combat</t>
        </is>
      </c>
      <c r="B27" s="30" t="inlineStr">
        <is>
          <t>Enemy death &amp; respawn</t>
        </is>
      </c>
      <c r="C27" s="38" t="inlineStr">
        <is>
          <t>Done</t>
        </is>
      </c>
      <c r="D27" s="30" t="n"/>
    </row>
    <row r="28" ht="23.25" customHeight="1" s="26">
      <c r="A28" s="30" t="inlineStr">
        <is>
          <t>Combat</t>
        </is>
      </c>
      <c r="B28" s="30" t="inlineStr">
        <is>
          <t>Skill system</t>
        </is>
      </c>
      <c r="C28" s="38" t="inlineStr">
        <is>
          <t>Done</t>
        </is>
      </c>
      <c r="D28" s="30" t="inlineStr">
        <is>
          <t>Damage (Physical/Magical), Heal, and Passive effect types, class-restricted, hotbar-cast, gated by a per-skill minimum Base Level requirement (2026-09-18)</t>
        </is>
      </c>
    </row>
    <row r="29" ht="15" customHeight="1" s="26">
      <c r="A29" s="30" t="inlineStr">
        <is>
          <t>Combat</t>
        </is>
      </c>
      <c r="B29" s="30" t="inlineStr">
        <is>
          <t>Skill buffs / debuffs (temporary stat modifiers)</t>
        </is>
      </c>
      <c r="C29" s="39" t="inlineStr">
        <is>
          <t>Done</t>
        </is>
      </c>
      <c r="D29" s="30" t="inlineStr">
        <is>
          <t>BuffController: temporary ATK/ASPD/DEF/MDEF/incoming-damage/Max HP modifiers (Berserk, Provoke, Endure, Energy Coat)</t>
        </is>
      </c>
    </row>
    <row r="30" ht="15" customHeight="1" s="26">
      <c r="A30" s="30" t="inlineStr">
        <is>
          <t>Combat</t>
        </is>
      </c>
      <c r="B30" s="30" t="inlineStr">
        <is>
          <t>Ground-targeted AoE skills (no fixed target)</t>
        </is>
      </c>
      <c r="C30" s="39" t="inlineStr">
        <is>
          <t>Planned</t>
        </is>
      </c>
      <c r="D30" s="30" t="inlineStr">
        <is>
          <t>e.g. Fire Wall, AoE heal zone</t>
        </is>
      </c>
    </row>
    <row r="31" ht="15" customHeight="1" s="26">
      <c r="A31" s="30" t="inlineStr">
        <is>
          <t>Combat</t>
        </is>
      </c>
      <c r="B31" s="30" t="inlineStr">
        <is>
          <t>Elemental damage and enemy resistances</t>
        </is>
      </c>
      <c r="C31" s="39" t="inlineStr">
        <is>
          <t>Done</t>
        </is>
      </c>
      <c r="D31" s="30" t="inlineStr">
        <is>
          <t>Element enum (incl. Neutral as a real resistable element) + ElementalResistanceComponent (IDamageModifier hook), wired to Poring/Poporing</t>
        </is>
      </c>
    </row>
    <row r="32" ht="15" customHeight="1" s="26">
      <c r="A32" s="30" t="inlineStr">
        <is>
          <t>Combat</t>
        </is>
      </c>
      <c r="B32" s="30" t="inlineStr">
        <is>
          <t>Mana (SP)</t>
        </is>
      </c>
      <c r="C32" s="38" t="inlineStr">
        <is>
          <t>Done</t>
        </is>
      </c>
      <c r="D32" s="30" t="inlineStr">
        <is>
          <t>Now consumed by the skill system</t>
        </is>
      </c>
    </row>
    <row r="33" ht="15" customHeight="1" s="26">
      <c r="A33" s="30" t="inlineStr">
        <is>
          <t>Items &amp; Equipment</t>
        </is>
      </c>
      <c r="B33" s="30" t="inlineStr">
        <is>
          <t>Item data model (Consumable/Material/Equipment)</t>
        </is>
      </c>
      <c r="C33" s="38" t="inlineStr">
        <is>
          <t>Done</t>
        </is>
      </c>
      <c r="D33" s="30" t="n"/>
    </row>
    <row r="34" ht="15" customHeight="1" s="26">
      <c r="A34" s="30" t="inlineStr">
        <is>
          <t>Items &amp; Equipment</t>
        </is>
      </c>
      <c r="B34" s="30" t="inlineStr">
        <is>
          <t>Ammo item type</t>
        </is>
      </c>
      <c r="C34" s="39" t="inlineStr">
        <is>
          <t>Done</t>
        </is>
      </c>
      <c r="D34" s="30" t="inlineStr">
        <is>
          <t>AmmoCounterUI + Archer ammo consumption on basic attack</t>
        </is>
      </c>
    </row>
    <row r="35" ht="15" customHeight="1" s="26">
      <c r="A35" s="30" t="inlineStr">
        <is>
          <t>Items &amp; Equipment</t>
        </is>
      </c>
      <c r="B35" s="30" t="inlineStr">
        <is>
          <t>Equipment slots (9, multi-slot items)</t>
        </is>
      </c>
      <c r="C35" s="38" t="inlineStr">
        <is>
          <t>Done</t>
        </is>
      </c>
      <c r="D35" s="30" t="n"/>
    </row>
    <row r="36" ht="15" customHeight="1" s="26">
      <c r="A36" s="30" t="inlineStr">
        <is>
          <t>Items &amp; Equipment</t>
        </is>
      </c>
      <c r="B36" s="30" t="inlineStr">
        <is>
          <t>Equip level/class requirement validation</t>
        </is>
      </c>
      <c r="C36" s="38" t="inlineStr">
        <is>
          <t>Done</t>
        </is>
      </c>
      <c r="D36" s="30" t="n"/>
    </row>
    <row r="37" ht="15" customHeight="1" s="26">
      <c r="A37" s="30" t="inlineStr">
        <is>
          <t>Items &amp; Equipment</t>
        </is>
      </c>
      <c r="B37" s="30" t="inlineStr">
        <is>
          <t>Weight-based inventory</t>
        </is>
      </c>
      <c r="C37" s="38" t="inlineStr">
        <is>
          <t>Done</t>
        </is>
      </c>
      <c r="D37" s="30" t="n"/>
    </row>
    <row r="38" ht="15" customHeight="1" s="26">
      <c r="A38" s="30" t="inlineStr">
        <is>
          <t>Items &amp; Equipment</t>
        </is>
      </c>
      <c r="B38" s="30" t="inlineStr">
        <is>
          <t>Paginated inventory UI</t>
        </is>
      </c>
      <c r="C38" s="38" t="inlineStr">
        <is>
          <t>Done</t>
        </is>
      </c>
      <c r="D38" s="30" t="n"/>
    </row>
    <row r="39" ht="15" customHeight="1" s="26">
      <c r="A39" s="30" t="inlineStr">
        <is>
          <t>Items &amp; Equipment</t>
        </is>
      </c>
      <c r="B39" s="30" t="inlineStr">
        <is>
          <t>Loot tables &amp; drops</t>
        </is>
      </c>
      <c r="C39" s="38" t="inlineStr">
        <is>
          <t>Done</t>
        </is>
      </c>
      <c r="D39" s="30" t="n"/>
    </row>
    <row r="40" ht="15" customHeight="1" s="26">
      <c r="A40" s="30" t="inlineStr">
        <is>
          <t>Items &amp; Equipment</t>
        </is>
      </c>
      <c r="B40" s="30" t="inlineStr">
        <is>
          <t>Spread-out multi-drop placement</t>
        </is>
      </c>
      <c r="C40" s="38" t="inlineStr">
        <is>
          <t>Done</t>
        </is>
      </c>
      <c r="D40" s="30" t="n"/>
    </row>
    <row r="41" ht="15" customHeight="1" s="26">
      <c r="A41" s="30" t="inlineStr">
        <is>
          <t>Items &amp; Equipment</t>
        </is>
      </c>
      <c r="B41" s="30" t="inlineStr">
        <is>
          <t>Click-to-collect pickups</t>
        </is>
      </c>
      <c r="C41" s="38" t="inlineStr">
        <is>
          <t>Done</t>
        </is>
      </c>
      <c r="D41" s="30" t="n"/>
    </row>
    <row r="42" ht="15" customHeight="1" s="26">
      <c r="A42" s="30" t="inlineStr">
        <is>
          <t>Items &amp; Equipment</t>
        </is>
      </c>
      <c r="B42" s="30" t="inlineStr">
        <is>
          <t>Item tooltips</t>
        </is>
      </c>
      <c r="C42" s="38" t="inlineStr">
        <is>
          <t>Done</t>
        </is>
      </c>
      <c r="D42" s="30" t="inlineStr">
        <is>
          <t>Inventory, equipped, and world-space items</t>
        </is>
      </c>
    </row>
    <row r="43" ht="15" customHeight="1" s="26">
      <c r="A43" s="30" t="inlineStr">
        <is>
          <t>Items &amp; Equipment</t>
        </is>
      </c>
      <c r="B43" s="30" t="inlineStr">
        <is>
          <t>Currency (Zeny) system</t>
        </is>
      </c>
      <c r="C43" s="40" t="inlineStr">
        <is>
          <t>Partial</t>
        </is>
      </c>
      <c r="D43" s="30" t="inlineStr">
        <is>
          <t>Add/spend API exists; no in-game source yet</t>
        </is>
      </c>
    </row>
    <row r="44" ht="15" customHeight="1" s="26">
      <c r="A44" s="30" t="inlineStr">
        <is>
          <t>Items &amp; Equipment</t>
        </is>
      </c>
      <c r="B44" s="30" t="inlineStr">
        <is>
          <t>Shops / economy</t>
        </is>
      </c>
      <c r="C44" s="39" t="inlineStr">
        <is>
          <t>Planned</t>
        </is>
      </c>
      <c r="D44" s="30" t="n"/>
    </row>
    <row r="45" ht="15" customHeight="1" s="26">
      <c r="A45" s="30" t="inlineStr">
        <is>
          <t>UI</t>
        </is>
      </c>
      <c r="B45" s="30" t="inlineStr">
        <is>
          <t>Main HUD</t>
        </is>
      </c>
      <c r="C45" s="38" t="inlineStr">
        <is>
          <t>Done</t>
        </is>
      </c>
      <c r="D45" s="30" t="inlineStr">
        <is>
          <t>Name, HP/SP, level/XP, weight, Zeny, class</t>
        </is>
      </c>
    </row>
    <row r="46" ht="15" customHeight="1" s="26">
      <c r="A46" s="30" t="inlineStr">
        <is>
          <t>UI</t>
        </is>
      </c>
      <c r="B46" s="30" t="inlineStr">
        <is>
          <t>Window system (drag, cascade, minimize/close)</t>
        </is>
      </c>
      <c r="C46" s="38" t="inlineStr">
        <is>
          <t>Done</t>
        </is>
      </c>
      <c r="D46" s="30" t="n"/>
    </row>
    <row r="47" ht="15" customHeight="1" s="26">
      <c r="A47" s="30" t="inlineStr">
        <is>
          <t>UI</t>
        </is>
      </c>
      <c r="B47" s="30" t="inlineStr">
        <is>
          <t>Keyboard shortcuts for windows</t>
        </is>
      </c>
      <c r="C47" s="38" t="inlineStr">
        <is>
          <t>Done</t>
        </is>
      </c>
      <c r="D47" s="30" t="inlineStr">
        <is>
          <t>I / C / E</t>
        </is>
      </c>
    </row>
    <row r="48" ht="15" customHeight="1" s="26">
      <c r="A48" s="30" t="inlineStr">
        <is>
          <t>World</t>
        </is>
      </c>
      <c r="B48" s="30" t="inlineStr">
        <is>
          <t>Fixed shared maps</t>
        </is>
      </c>
      <c r="C48" s="38" t="inlineStr">
        <is>
          <t>Done</t>
        </is>
      </c>
      <c r="D48" s="30" t="n"/>
    </row>
    <row r="49" ht="15" customHeight="1" s="26">
      <c r="A49" s="30" t="inlineStr">
        <is>
          <t>World</t>
        </is>
      </c>
      <c r="B49" s="30" t="inlineStr">
        <is>
          <t>NavMesh pathfinding</t>
        </is>
      </c>
      <c r="C49" s="38" t="inlineStr">
        <is>
          <t>Done</t>
        </is>
      </c>
      <c r="D49" s="30" t="n"/>
    </row>
    <row r="50" ht="15" customHeight="1" s="26">
      <c r="A50" s="30" t="inlineStr">
        <is>
          <t>Technical</t>
        </is>
      </c>
      <c r="B50" s="30" t="inlineStr">
        <is>
          <t>Assembly Definitions (11 assemblies)</t>
        </is>
      </c>
      <c r="C50" s="38" t="inlineStr">
        <is>
          <t>Done</t>
        </is>
      </c>
      <c r="D50" s="30" t="n"/>
    </row>
    <row r="51" ht="15" customHeight="1" s="26">
      <c r="A51" s="30" t="inlineStr">
        <is>
          <t>Technical</t>
        </is>
      </c>
      <c r="B51" s="30" t="inlineStr">
        <is>
          <t>Git / GitHub / Sourcetree workflow</t>
        </is>
      </c>
      <c r="C51" s="38" t="inlineStr">
        <is>
          <t>Done</t>
        </is>
      </c>
      <c r="D51" s="30" t="n"/>
    </row>
    <row r="52" ht="15" customHeight="1" s="26">
      <c r="A52" s="30" t="inlineStr">
        <is>
          <t>Technical</t>
        </is>
      </c>
      <c r="B52" s="30" t="inlineStr">
        <is>
          <t>Save / persistence system</t>
        </is>
      </c>
      <c r="C52" s="39" t="inlineStr">
        <is>
          <t>Done</t>
        </is>
      </c>
      <c r="D52" s="30" t="inlineStr">
        <is>
          <t>ISaveParticipant/JsonFileSaveRepository — covers progression, class, skills, hotbar, inventory, equipment, window layout (GDD 8.2a)</t>
        </is>
      </c>
    </row>
    <row r="53" ht="15" customHeight="1" s="26">
      <c r="A53" s="30" t="inlineStr">
        <is>
          <t>Technical</t>
        </is>
      </c>
      <c r="B53" s="30" t="inlineStr">
        <is>
          <t>Authoritative server / multiplayer</t>
        </is>
      </c>
      <c r="C53" s="39" t="inlineStr">
        <is>
          <t>Planned</t>
        </is>
      </c>
      <c r="D53" s="30" t="inlineStr">
        <is>
          <t>Fish-Networking under consideration</t>
        </is>
      </c>
    </row>
    <row r="54" ht="15" customHeight="1" s="26">
      <c r="A54" s="30" t="inlineStr">
        <is>
          <t>Technical</t>
        </is>
      </c>
      <c r="B54" s="30" t="inlineStr">
        <is>
          <t>Automated tests</t>
        </is>
      </c>
      <c r="C54" s="39" t="inlineStr">
        <is>
          <t>Partial</t>
        </is>
      </c>
      <c r="D54" s="30" t="inlineStr">
        <is>
          <t>EditMode tests exist for Character Stats and Items (CharacterBaseStatsTests, EquipmentManagerTests, InventoryTests); no PlayMode test infrastructure yet</t>
        </is>
      </c>
    </row>
    <row r="55" ht="23.25" customHeight="1" s="26">
      <c r="A55" s="30" t="inlineStr">
        <is>
          <t>Content</t>
        </is>
      </c>
      <c r="B55" s="30" t="inlineStr">
        <is>
          <t>Mob variety</t>
        </is>
      </c>
      <c r="C55" s="40" t="inlineStr">
        <is>
          <t>Partial</t>
        </is>
      </c>
      <c r="D55" s="30" t="inlineStr">
        <is>
          <t>Aggressive/Passive behavior modes done; only Poring/Poporing exist as content</t>
        </is>
      </c>
    </row>
    <row r="56" ht="15" customHeight="1" s="26">
      <c r="A56" s="30" t="inlineStr">
        <is>
          <t>Content</t>
        </is>
      </c>
      <c r="B56" s="30" t="inlineStr">
        <is>
          <t>Quest system</t>
        </is>
      </c>
      <c r="C56" s="39" t="inlineStr">
        <is>
          <t>Planned</t>
        </is>
      </c>
      <c r="D56" s="30" t="n"/>
    </row>
    <row r="57" ht="23.25" customHeight="1" s="26">
      <c r="A57" s="30" t="inlineStr">
        <is>
          <t>Character Stats</t>
        </is>
      </c>
      <c r="B57" s="30" t="inlineStr">
        <is>
          <t>Quasi-stats (Attack Range, Cast Time, Perfect Dodge, etc.)</t>
        </is>
      </c>
      <c r="C57" s="39" t="inlineStr">
        <is>
          <t>Partial</t>
        </is>
      </c>
      <c r="D57" s="30" t="inlineStr">
        <is>
          <t>Attack Range, Weight Limit, Movement Speed and Status Effect Resistance implemented; Cast Time/Cast Delay/Critical Hit Shield/Perfect Dodge/Perfect Hit still planned — see Quasi-Stats sheet</t>
        </is>
      </c>
    </row>
    <row r="58" ht="15" customHeight="1" s="26">
      <c r="A58" s="30" t="inlineStr">
        <is>
          <t>Character Stats</t>
        </is>
      </c>
      <c r="B58" s="30" t="inlineStr">
        <is>
          <t>Stat Points Reset</t>
        </is>
      </c>
      <c r="C58" s="39" t="inlineStr">
        <is>
          <t>Partial</t>
        </is>
      </c>
      <c r="D58" s="30" t="inlineStr">
        <is>
          <t>CharacterBaseStats.ResetToMinimum()/PlayerStatsController.ResetStats() implemented, but deliberately kept out of the shipped UI (debug-menu-only) per a 2026-09-08 decision</t>
        </is>
      </c>
    </row>
    <row r="59" ht="23.25" customHeight="1" s="26">
      <c r="A59" s="30" t="inlineStr">
        <is>
          <t>Character Stats</t>
        </is>
      </c>
      <c r="B59" s="30" t="inlineStr">
        <is>
          <t>Talent Stats (POW/STA/WIS/SPL/CON/CRT) and Lv.200+ substats</t>
        </is>
      </c>
      <c r="C59" s="41" t="inlineStr">
        <is>
          <t>Out of scope</t>
        </is>
      </c>
      <c r="D59" s="30" t="inlineStr">
        <is>
          <t>Assumes 4th-job content far beyond current roadmap</t>
        </is>
      </c>
    </row>
    <row r="60">
      <c r="A60" t="inlineStr">
        <is>
          <t>Combat</t>
        </is>
      </c>
      <c r="B60" t="inlineStr">
        <is>
          <t>Status effect system (Stun, Poison, Silence, Blind, Freeze, Petrify)</t>
        </is>
      </c>
      <c r="C60" t="inlineStr">
        <is>
          <t>Done</t>
        </is>
      </c>
      <c r="D60" t="inlineStr">
        <is>
          <t>StatusEffectController, wired to Fatal Blow (stun-augment) and SkillDefinition.InflictedStatus</t>
        </is>
      </c>
    </row>
    <row r="61">
      <c r="A61" t="inlineStr">
        <is>
          <t>Combat</t>
        </is>
      </c>
      <c r="B61" t="inlineStr">
        <is>
          <t>Status effect resistance</t>
        </is>
      </c>
      <c r="C61" t="inlineStr">
        <is>
          <t>Done</t>
        </is>
      </c>
      <c r="D61" t="inlineStr">
        <is>
          <t>See Quasi-Stats sheet</t>
        </is>
      </c>
    </row>
    <row r="62">
      <c r="A62" t="inlineStr">
        <is>
          <t>Character Stats</t>
        </is>
      </c>
      <c r="B62" t="inlineStr">
        <is>
          <t>Monster Size/Race classification + weapon-vs-size damage table</t>
        </is>
      </c>
      <c r="C62" t="inlineStr">
        <is>
          <t>Done</t>
        </is>
      </c>
      <c r="D62" t="inlineStr">
        <is>
          <t>WeaponSizeModifiers, real iRO Wiki Classic size table; wired on Poring (Small/Plant) and Poporing</t>
        </is>
      </c>
    </row>
    <row r="63">
      <c r="A63" t="inlineStr">
        <is>
          <t>Character Stats</t>
        </is>
      </c>
      <c r="B63" t="inlineStr">
        <is>
          <t>Class-specific Job Level stat bonuses</t>
        </is>
      </c>
      <c r="C63" t="inlineStr">
        <is>
          <t>Done</t>
        </is>
      </c>
      <c r="D63" t="inlineStr">
        <is>
          <t>ClassJobLevelBonusLookup, e.g. Swordman +7 STR/+2 AGI/+4 VIT/+3 DEX/+2 LUK at Job 50</t>
        </is>
      </c>
    </row>
    <row r="64">
      <c r="A64" t="inlineStr">
        <is>
          <t>Combat</t>
        </is>
      </c>
      <c r="B64" t="inlineStr">
        <is>
          <t>Natural HP regeneration</t>
        </is>
      </c>
      <c r="C64" t="inlineStr">
        <is>
          <t>Done</t>
        </is>
      </c>
      <c r="D64" t="inlineStr">
        <is>
          <t>PlayerHealthRegenController, boosted by Increase HP Recovery / HP Recovery While Moving passives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0" customWidth="1" style="25" min="2" max="3"/>
    <col width="60" customWidth="1" style="25" min="4" max="4"/>
    <col width="30" customWidth="1" style="25" min="5" max="5"/>
  </cols>
  <sheetData>
    <row r="1" ht="19.5" customHeight="1" s="26">
      <c r="A1" s="27" t="inlineStr">
        <is>
          <t>Base Stats</t>
        </is>
      </c>
    </row>
    <row r="2" ht="15" customHeight="1" s="26">
      <c r="A2" s="28" t="inlineStr">
        <is>
          <t>Reference: iRO Wiki — Stats (https://irowiki.org/wiki/Stats), consulted July 2026. "Modeled Today" reflects the project's current implementation; the rest is target/reference for future balancing.</t>
        </is>
      </c>
    </row>
    <row r="4" ht="15" customHeight="1" s="26">
      <c r="A4" s="29" t="inlineStr">
        <is>
          <t>Stat</t>
        </is>
      </c>
      <c r="B4" s="29" t="inlineStr">
        <is>
          <t>Abbrev.</t>
        </is>
      </c>
      <c r="C4" s="29" t="inlineStr">
        <is>
          <t>Range</t>
        </is>
      </c>
      <c r="D4" s="29" t="inlineStr">
        <is>
          <t>Full Effect (RO Reference)</t>
        </is>
      </c>
      <c r="E4" s="29" t="inlineStr">
        <is>
          <t>Modeled Today</t>
        </is>
      </c>
    </row>
    <row r="5" ht="30" customHeight="1" s="26">
      <c r="A5" s="30" t="inlineStr">
        <is>
          <t>Strength</t>
        </is>
      </c>
      <c r="B5" s="30" t="inlineStr">
        <is>
          <t>STR</t>
        </is>
      </c>
      <c r="C5" s="30" t="inlineStr">
        <is>
          <t>1-99</t>
        </is>
      </c>
      <c r="D5" s="30" t="inlineStr">
        <is>
          <t>Primary melee physical attack stat (smaller bonus for ranged weapons); sole stat driving carry weight capacity.</t>
        </is>
      </c>
      <c r="E5" s="30" t="inlineStr">
        <is>
          <t>Status ATK (melee weapons; DEX takes over for ranged) + small Status ATK bonus (LUK/5)</t>
        </is>
      </c>
    </row>
    <row r="6" ht="30" customHeight="1" s="26">
      <c r="A6" s="30" t="inlineStr">
        <is>
          <t>Agility</t>
        </is>
      </c>
      <c r="B6" s="30" t="inlineStr">
        <is>
          <t>AGI</t>
        </is>
      </c>
      <c r="C6" s="30" t="inlineStr">
        <is>
          <t>1-99</t>
        </is>
      </c>
      <c r="D6" s="30" t="inlineStr">
        <is>
          <t>Increases Flee Rate and Attack Speed (ASPD); does not affect movement speed; resists Bleeding/Sleep.</t>
        </is>
      </c>
      <c r="E6" s="30" t="inlineStr">
        <is>
          <t>Flee Rate — now resolved on every incoming hit via the Hit Chance accuracy roll</t>
        </is>
      </c>
    </row>
    <row r="7" ht="30" customHeight="1" s="26">
      <c r="A7" s="30" t="inlineStr">
        <is>
          <t>Vitality</t>
        </is>
      </c>
      <c r="B7" s="30" t="inlineStr">
        <is>
          <t>VIT</t>
        </is>
      </c>
      <c r="C7" s="30" t="inlineStr">
        <is>
          <t>1-99</t>
        </is>
      </c>
      <c r="D7" s="30" t="inlineStr">
        <is>
          <t>Increases Max HP, physical Defense, magic Defense, HP recovery rate; resists Stun/Poison/Burning/Freezing and more.</t>
        </is>
      </c>
      <c r="E7" s="30" t="inlineStr">
        <is>
          <t>Status DEF (now mitigates incoming Physical damage) + part of Status MDEF + Max HP bonus (+1%/point)</t>
        </is>
      </c>
    </row>
    <row r="8" ht="30" customHeight="1" s="26">
      <c r="A8" s="30" t="inlineStr">
        <is>
          <t>Intelligence</t>
        </is>
      </c>
      <c r="B8" s="30" t="inlineStr">
        <is>
          <t>INT</t>
        </is>
      </c>
      <c r="C8" s="30" t="inlineStr">
        <is>
          <t>1-99</t>
        </is>
      </c>
      <c r="D8" s="30" t="inlineStr">
        <is>
          <t>Increases Magic Attack, magic Defense, Max SP, SP recovery rate; reduces variable cast time; resists Blind/Silence/Chaos.</t>
        </is>
      </c>
      <c r="E8" s="30" t="inlineStr">
        <is>
          <t>Status MATK (Mage basic attack + magic skills) + part of Status MDEF (mitigates Magical damage) + Max SP bonus (+1%/point)</t>
        </is>
      </c>
    </row>
    <row r="9" ht="30" customHeight="1" s="26">
      <c r="A9" s="30" t="inlineStr">
        <is>
          <t>Dexterity</t>
        </is>
      </c>
      <c r="B9" s="30" t="inlineStr">
        <is>
          <t>DEX</t>
        </is>
      </c>
      <c r="C9" s="30" t="inlineStr">
        <is>
          <t>1-99</t>
        </is>
      </c>
      <c r="D9" s="30" t="inlineStr">
        <is>
          <t>Primary ranged physical attack stat (smaller bonus for melee); increases Hit Rate, Attack Speed; reduces variable cast time.</t>
        </is>
      </c>
      <c r="E9" s="30" t="inlineStr">
        <is>
          <t>Hit Rate (now resolved via accuracy rolls) + part of Status MDEF + Status ATK when wielding a ranged weapon</t>
        </is>
      </c>
    </row>
    <row r="10" ht="30" customHeight="1" s="26">
      <c r="A10" s="30" t="inlineStr">
        <is>
          <t>Luck</t>
        </is>
      </c>
      <c r="B10" s="30" t="inlineStr">
        <is>
          <t>LUK</t>
        </is>
      </c>
      <c r="C10" s="30" t="inlineStr">
        <is>
          <t>1-99</t>
        </is>
      </c>
      <c r="D10" s="30" t="inlineStr">
        <is>
          <t>Increases Critical Hit Rate; smaller bonuses to ATK, MATK, Hit Rate, Flee Rate; resists several status effects.</t>
        </is>
      </c>
      <c r="E10" s="30" t="inlineStr">
        <is>
          <t>Critical Rate + small Status ATK bonus (LUK/5)</t>
        </is>
      </c>
    </row>
    <row r="12" ht="15" customHeight="1" s="26">
      <c r="A12" s="28" t="inlineStr">
        <is>
          <t>Note: RO extends the range to 130 for third-class characters (80/117 for baby classes) — not applicable to the project's current single-tier class scope.</t>
        </is>
      </c>
    </row>
    <row r="13" ht="15" customHeight="1" s="26">
      <c r="A13" s="28" t="inlineStr">
        <is>
          <t>Note: point cost per increase and points granted per Base Level now use the real RO formulas below — see the "Leveling &amp; Stat Costs" sheet, which reflects the actual implementation (RagnarokStatPointCostStrategy / RagnarokStatPointsPerLevelStrategy), not just a future target.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5" min="1" max="1"/>
    <col width="50" customWidth="1" style="25" min="2" max="3"/>
    <col width="14" customWidth="1" style="25" min="4" max="12"/>
  </cols>
  <sheetData>
    <row r="1" ht="19.5" customHeight="1" s="26">
      <c r="A1" s="27" t="inlineStr">
        <is>
          <t>Sub-Stats &amp; Formulas</t>
        </is>
      </c>
    </row>
    <row r="2" ht="27.75" customHeight="1" s="26">
      <c r="A2" s="28" t="inlineStr">
        <is>
          <t>"Status" component only — equipment/weapon-based bonuses are added on top by the equipment system, not shown here. Formulas match Project.Character.Stats.SubStatsCalculator exactly (source: iRO Wiki Classic — Stats, consulted September 2026).</t>
        </is>
      </c>
    </row>
    <row r="4" ht="15" customHeight="1" s="26">
      <c r="A4" s="29" t="inlineStr">
        <is>
          <t>Sub-Stat</t>
        </is>
      </c>
      <c r="B4" s="29" t="inlineStr">
        <is>
          <t>Formula (as implemented)</t>
        </is>
      </c>
      <c r="C4" s="29" t="inlineStr">
        <is>
          <t>Notes</t>
        </is>
      </c>
    </row>
    <row r="5" ht="30" customHeight="1" s="26">
      <c r="A5" s="30" t="inlineStr">
        <is>
          <t>Status ATK</t>
        </is>
      </c>
      <c r="B5" s="30" t="inlineStr">
        <is>
          <t>mainStat + floor(mainStat/10)² + floor(LUK/5); mainStat = DEX if wielding a ranged weapon (bow/gun/instrument/whip), otherwise STR</t>
        </is>
      </c>
      <c r="C5" s="30" t="inlineStr">
        <is>
          <t>Weapon ATK bonus not yet modeled. The equipped weapon TYPE decides which stat scales damage, not the player's class — a Swordman with a bow scales off DEX too.</t>
        </is>
      </c>
    </row>
    <row r="6" ht="30" customHeight="1" s="26">
      <c r="A6" s="30" t="inlineStr">
        <is>
          <t>Status MATK</t>
        </is>
      </c>
      <c r="B6" s="30" t="inlineStr">
        <is>
          <t>avg( INT + floor(INT/7)² , INT + floor(INT/5)² )</t>
        </is>
      </c>
      <c r="C6" s="30" t="inlineStr">
        <is>
          <t>iRO's MATK range, averaged since this project has no randomized-damage-range mechanic yet. Used by the Mage's basic attack and by magic-type skills (SkillDamageType.Magical).</t>
        </is>
      </c>
    </row>
    <row r="7" ht="30" customHeight="1" s="26">
      <c r="A7" s="30" t="inlineStr">
        <is>
          <t>Status DEF</t>
        </is>
      </c>
      <c r="B7" s="30" t="inlineStr">
        <is>
          <t>floor(VIT × 0.8)</t>
        </is>
      </c>
      <c r="C7" s="30" t="inlineStr">
        <is>
          <t>Mitigates incoming Physical damage: HealthComponent applies max(1, amount − StatusDef) after any elemental modifier.</t>
        </is>
      </c>
    </row>
    <row r="8" ht="30" customHeight="1" s="26">
      <c r="A8" s="30" t="inlineStr">
        <is>
          <t>Status MDEF</t>
        </is>
      </c>
      <c r="B8" s="30" t="inlineStr">
        <is>
          <t>INT + floor(VIT/5) + floor(DEX/5) + floor(BaseLv/4)</t>
        </is>
      </c>
      <c r="C8" s="30" t="inlineStr">
        <is>
          <t>Mitigates incoming Magical damage the same way as Status DEF.</t>
        </is>
      </c>
    </row>
    <row r="9" ht="30" customHeight="1" s="26">
      <c r="A9" s="30" t="inlineStr">
        <is>
          <t>Hit Rate</t>
        </is>
      </c>
      <c r="B9" s="30" t="inlineStr">
        <is>
          <t>BaseLv + DEX</t>
        </is>
      </c>
      <c r="C9" s="30" t="inlineStr">
        <is>
          <t>Attacker's accuracy rating, consulted by the Hit Chance roll below. Fixed from an unexplained 175 + DEX + LUK/3 + BaseLv placeholder that matched no documented formula.</t>
        </is>
      </c>
    </row>
    <row r="10" ht="30" customHeight="1" s="26">
      <c r="A10" s="30" t="inlineStr">
        <is>
          <t>Flee Rate</t>
        </is>
      </c>
      <c r="B10" s="30" t="inlineStr">
        <is>
          <t>AGI + BaseLv</t>
        </is>
      </c>
      <c r="C10" s="30" t="inlineStr">
        <is>
          <t>Target's dodge rating, consulted by the Hit Chance roll below.</t>
        </is>
      </c>
    </row>
    <row r="11" ht="30" customHeight="1" s="26">
      <c r="A11" s="30" t="inlineStr">
        <is>
          <t>Critical Rate</t>
        </is>
      </c>
      <c r="B11" s="30" t="inlineStr">
        <is>
          <t>LUK × 0.3 + 1</t>
        </is>
      </c>
      <c r="C11" s="30" t="inlineStr">
        <is>
          <t>Expressed as a percentage. A critical hit deals ×1.4 damage and always lands, bypassing the Hit Chance roll entirely.</t>
        </is>
      </c>
    </row>
    <row r="12" ht="30" customHeight="1" s="26">
      <c r="A12" s="30" t="inlineStr">
        <is>
          <t>Hit Chance (accuracy roll)</t>
        </is>
      </c>
      <c r="B12" s="30" t="inlineStr">
        <is>
          <t>clamp(100 + Hit − Flee, 5%, 95%)</t>
        </is>
      </c>
      <c r="C12" s="30" t="inlineStr">
        <is>
          <t>HitChanceCalculator.RollHit — rolled on every non-critical hit (basic attacks, skills, enemy attacks). A missed skill still consumes mana and its cooldown.</t>
        </is>
      </c>
    </row>
    <row r="13" ht="30" customHeight="1" s="26">
      <c r="A13" s="42" t="inlineStr">
        <is>
          <t>Max HP Bonus (VIT)</t>
        </is>
      </c>
      <c r="B13" s="42" t="inlineStr">
        <is>
          <t>round(BaseMaxHP × VIT × 0.01)</t>
        </is>
      </c>
      <c r="C13" s="42" t="inlineStr">
        <is>
          <t>+1% of base Max HP per VIT point, added on top of CharacterStatsDefinition.MaxHealth via IMaxHealthBonusProvider.</t>
        </is>
      </c>
    </row>
    <row r="14" ht="30" customHeight="1" s="26">
      <c r="A14" s="42" t="inlineStr">
        <is>
          <t>Max SP Bonus (INT)</t>
        </is>
      </c>
      <c r="B14" s="42" t="inlineStr">
        <is>
          <t>round(BaseMaxSP × INT × 0.01)</t>
        </is>
      </c>
      <c r="C14" s="42" t="inlineStr">
        <is>
          <t>+1% of base Max SP per INT point, added on top of CharacterStatsDefinition.MaxMana via IMaxManaBonusProvider.</t>
        </is>
      </c>
    </row>
    <row r="15" ht="30" customHeight="1" s="26">
      <c r="A15" s="42" t="inlineStr">
        <is>
          <t>ASPD</t>
        </is>
      </c>
      <c r="B15" s="42" t="inlineStr">
        <is>
          <t>200 - (WD - (round(WD×AGI/25) + round(WD×DEX/100)) / 10); WD = 50×BTBA (weapon delay, seconds×50)</t>
        </is>
      </c>
      <c r="C15" s="42" t="inlineStr">
        <is>
          <t>Fixed 2026-09-08: real, sourced formula (iRO Wiki Classic — ASPD, consulted September 2026), clamped [0,190]. SM (buff speed modifier) fixed at 0 — no buff system yet. WD's real per-weapon/per-job lookup table isn't modeled yet (the source only publishes it as an image) — SubStatsCalculator.WeaponDelayPlaceholder = 60 stands in for every weapon/class until that table is sourced as real data. See the growth table below for the AGI/DEX diminishing-returns shape this produces.</t>
        </is>
      </c>
    </row>
    <row r="17" ht="15" customHeight="1" s="26">
      <c r="A17" s="43" t="inlineStr">
        <is>
          <t>Enemy Fallback Stats (CharacterStatsDefinition — flat, non-derived)</t>
        </is>
      </c>
    </row>
    <row r="18" ht="43.5" customHeight="1" s="26">
      <c r="A18" s="44" t="inlineStr">
        <is>
          <t>Enemies don't compute Status sub-stats from base stats like the player does — they read these flat authored values directly from their CharacterStatsDefinition asset. HealthComponent falls back to these same fields (Defense / Magical Defense / Flee) whenever no IDefensiveStatsProvider is wired, which today means every enemy; the player's HealthComponent instead sources them from PlayerStatsController's calculated sub-stats above.</t>
        </is>
      </c>
    </row>
    <row r="19" ht="15" customHeight="1" s="26">
      <c r="A19" s="45" t="inlineStr">
        <is>
          <t>Field</t>
        </is>
      </c>
      <c r="B19" s="45" t="inlineStr">
        <is>
          <t>Default Value</t>
        </is>
      </c>
      <c r="C19" s="45" t="inlineStr">
        <is>
          <t>Notes</t>
        </is>
      </c>
    </row>
    <row r="20" ht="27.75" customHeight="1" s="26">
      <c r="A20" s="42" t="inlineStr">
        <is>
          <t>Attack Power</t>
        </is>
      </c>
      <c r="B20" s="42" t="n">
        <v>10</v>
      </c>
      <c r="C20" s="42" t="inlineStr">
        <is>
          <t>Flat physical damage dealt by the enemy's basic attack (EnemyAttackState).</t>
        </is>
      </c>
    </row>
    <row r="21" ht="27.75" customHeight="1" s="26">
      <c r="A21" s="42" t="inlineStr">
        <is>
          <t>Defense</t>
        </is>
      </c>
      <c r="B21" s="42" t="n">
        <v>5</v>
      </c>
      <c r="C21" s="42" t="inlineStr">
        <is>
          <t>Mitigates incoming Physical damage, using the same max(1, amount − Defense) rule as the player's Status DEF.</t>
        </is>
      </c>
    </row>
    <row r="22" ht="27.75" customHeight="1" s="26">
      <c r="A22" s="42" t="inlineStr">
        <is>
          <t>Magical Defense</t>
        </is>
      </c>
      <c r="B22" s="42" t="n">
        <v>0</v>
      </c>
      <c r="C22" s="42" t="inlineStr">
        <is>
          <t>Mitigates incoming Magical damage; most enemies have none by default.</t>
        </is>
      </c>
    </row>
    <row r="23" ht="27.75" customHeight="1" s="26">
      <c r="A23" s="42" t="inlineStr">
        <is>
          <t>Hit</t>
        </is>
      </c>
      <c r="B23" s="42" t="n">
        <v>100</v>
      </c>
      <c r="C23" s="42" t="inlineStr">
        <is>
          <t>Accuracy rating; high enough that an untuned enemy still reliably hits an average-Flee player.</t>
        </is>
      </c>
    </row>
    <row r="24" ht="27.75" customHeight="1" s="26">
      <c r="A24" s="42" t="inlineStr">
        <is>
          <t>Flee</t>
        </is>
      </c>
      <c r="B24" s="42" t="n">
        <v>20</v>
      </c>
      <c r="C24" s="42" t="inlineStr">
        <is>
          <t>Dodge rating consulted when the player's Hit is rolled against this enemy.</t>
        </is>
      </c>
    </row>
    <row r="25" ht="27.75" customHeight="1" s="26">
      <c r="A25" s="42" t="inlineStr">
        <is>
          <t>Move Speed</t>
        </is>
      </c>
      <c r="B25" s="42" t="n">
        <v>4</v>
      </c>
      <c r="C25" s="42" t="inlineStr">
        <is>
          <t>Units/second — also drives the enemy's NavMeshAgent speed.</t>
        </is>
      </c>
    </row>
    <row r="27" ht="43.5" customHeight="1" s="26">
      <c r="A27" s="44" t="inlineStr">
        <is>
          <t>Note: Magical Defense, Hit and Flee were added to CharacterStatsDefinition alongside the pre-existing Defense field. Every enemy stat asset authored before these fields existed picks up these defaults automatically — Unity falls back to a new [SerializeField]'s C# default when deserializing an asset saved before the field was added.</t>
        </is>
      </c>
    </row>
    <row r="30" ht="15" customHeight="1" s="26">
      <c r="A30" s="43" t="inlineStr">
        <is>
          <t>Growth Curves — How Each Formula Scales</t>
        </is>
      </c>
    </row>
    <row r="31" ht="30" customHeight="1" s="26">
      <c r="A31" s="46" t="inlineStr">
        <is>
          <t>Each curve isolates one stat's contribution by holding every other input at the fixed baseline below — this shows the true shape of each formula (linear, quadratic, or ASPD's diminishing-returns curve) rather than a real character's blended total. Every cell below is a live formula matching Project.Character.Stats.SubStatsCalculator exactly, so it recalculates if the baseline is changed.</t>
        </is>
      </c>
    </row>
    <row r="33" ht="15" customHeight="1" s="26">
      <c r="A33" s="31" t="inlineStr">
        <is>
          <t>Baseline used below (only the X-axis stat varies)</t>
        </is>
      </c>
    </row>
    <row r="34" ht="15" customHeight="1" s="26">
      <c r="A34" s="37" t="inlineStr">
        <is>
          <t>Base Level</t>
        </is>
      </c>
      <c r="B34" s="37" t="n">
        <v>50</v>
      </c>
    </row>
    <row r="35" ht="34.5" customHeight="1" s="26">
      <c r="A35" s="42" t="inlineStr">
        <is>
          <t>Secondary stat baseline (LUK / VIT / DEX / INT / AGI, whichever isn't the X-axis)</t>
        </is>
      </c>
      <c r="B35" s="37" t="n">
        <v>1</v>
      </c>
    </row>
    <row r="36" ht="15" customHeight="1" s="26">
      <c r="A36" s="37" t="inlineStr">
        <is>
          <t>ASPD Weapon Delay placeholder (WD)</t>
        </is>
      </c>
      <c r="B36" s="37" t="n">
        <v>60</v>
      </c>
      <c r="C36" s="47" t="inlineStr">
        <is>
          <t>Matches SubStatsCalculator.WeaponDelayPlaceholder — see the ASPD row above.</t>
        </is>
      </c>
    </row>
    <row r="38" ht="30" customHeight="1" s="26">
      <c r="A38" s="45" t="inlineStr">
        <is>
          <t>X (Stat Value)</t>
        </is>
      </c>
      <c r="B38" s="45" t="inlineStr">
        <is>
          <t>Status ATK (STR or DEX)</t>
        </is>
      </c>
      <c r="C38" s="45" t="inlineStr">
        <is>
          <t>Status MATK (INT)</t>
        </is>
      </c>
      <c r="D38" s="45" t="inlineStr">
        <is>
          <t>Status DEF (VIT)</t>
        </is>
      </c>
      <c r="E38" s="45" t="inlineStr">
        <is>
          <t>Status MDEF (INT, others baseline)</t>
        </is>
      </c>
      <c r="F38" s="45" t="inlineStr">
        <is>
          <t>Hit Rate (DEX)</t>
        </is>
      </c>
      <c r="G38" s="45" t="inlineStr">
        <is>
          <t>Flee Rate (AGI)</t>
        </is>
      </c>
      <c r="H38" s="45" t="inlineStr">
        <is>
          <t>Critical Rate % (LUK)</t>
        </is>
      </c>
      <c r="I38" s="45" t="inlineStr">
        <is>
          <t>Max HP Bonus % (VIT)</t>
        </is>
      </c>
      <c r="J38" s="45" t="inlineStr">
        <is>
          <t>Max SP Bonus % (INT)</t>
        </is>
      </c>
      <c r="K38" s="45" t="inlineStr">
        <is>
          <t>ASPD vs AGI (DEX baseline)</t>
        </is>
      </c>
      <c r="L38" s="45" t="inlineStr">
        <is>
          <t>ASPD vs DEX (AGI baseline)</t>
        </is>
      </c>
    </row>
    <row r="39" ht="15" customHeight="1" s="26">
      <c r="A39" s="37" t="n">
        <v>1</v>
      </c>
      <c r="B39" s="37">
        <f>A39+FLOOR(A39/10,1)^2+FLOOR($B$35/5,1)</f>
        <v/>
      </c>
      <c r="C39" s="37">
        <f>AVERAGE(A39+FLOOR(A39/7,1)^2,A39+FLOOR(A39/5,1)^2)</f>
        <v/>
      </c>
      <c r="D39" s="37">
        <f>FLOOR(A39*0.8,1)</f>
        <v/>
      </c>
      <c r="E39" s="37">
        <f>A39+FLOOR($B$35/5,1)+FLOOR($B$35/5,1)+FLOOR($B$34/4,1)</f>
        <v/>
      </c>
      <c r="F39" s="37">
        <f>$B$34+A39</f>
        <v/>
      </c>
      <c r="G39" s="37">
        <f>A39+$B$34</f>
        <v/>
      </c>
      <c r="H39" s="37">
        <f>A39*0.3+1</f>
        <v/>
      </c>
      <c r="I39" s="37">
        <f>A39*1</f>
        <v/>
      </c>
      <c r="J39" s="37">
        <f>A39*1</f>
        <v/>
      </c>
      <c r="K39" s="37">
        <f>MIN(190,MAX(0,ROUND(200-($B$36-(ROUND($B$36*A39/25,0)+ROUND($B$36*$B$35/100,0))/10),0)))</f>
        <v/>
      </c>
      <c r="L39" s="37">
        <f>MIN(190,MAX(0,ROUND(200-($B$36-(ROUND($B$36*$B$35/25,0)+ROUND($B$36*A39/100,0))/10),0)))</f>
        <v/>
      </c>
    </row>
    <row r="40" ht="15" customHeight="1" s="26">
      <c r="A40" s="37">
        <f>A39+1</f>
        <v/>
      </c>
      <c r="B40" s="37">
        <f>A40+FLOOR(A40/10,1)^2+FLOOR($B$35/5,1)</f>
        <v/>
      </c>
      <c r="C40" s="37">
        <f>AVERAGE(A40+FLOOR(A40/7,1)^2,A40+FLOOR(A40/5,1)^2)</f>
        <v/>
      </c>
      <c r="D40" s="37">
        <f>FLOOR(A40*0.8,1)</f>
        <v/>
      </c>
      <c r="E40" s="37">
        <f>A40+FLOOR($B$35/5,1)+FLOOR($B$35/5,1)+FLOOR($B$34/4,1)</f>
        <v/>
      </c>
      <c r="F40" s="37">
        <f>$B$34+A40</f>
        <v/>
      </c>
      <c r="G40" s="37">
        <f>A40+$B$34</f>
        <v/>
      </c>
      <c r="H40" s="37">
        <f>A40*0.3+1</f>
        <v/>
      </c>
      <c r="I40" s="37">
        <f>A40*1</f>
        <v/>
      </c>
      <c r="J40" s="37">
        <f>A40*1</f>
        <v/>
      </c>
      <c r="K40" s="37">
        <f>MIN(190,MAX(0,ROUND(200-($B$36-(ROUND($B$36*A40/25,0)+ROUND($B$36*$B$35/100,0))/10),0)))</f>
        <v/>
      </c>
      <c r="L40" s="37">
        <f>MIN(190,MAX(0,ROUND(200-($B$36-(ROUND($B$36*$B$35/25,0)+ROUND($B$36*A40/100,0))/10),0)))</f>
        <v/>
      </c>
    </row>
    <row r="41" ht="15" customHeight="1" s="26">
      <c r="A41" s="37">
        <f>A40+1</f>
        <v/>
      </c>
      <c r="B41" s="37">
        <f>A41+FLOOR(A41/10,1)^2+FLOOR($B$35/5,1)</f>
        <v/>
      </c>
      <c r="C41" s="37">
        <f>AVERAGE(A41+FLOOR(A41/7,1)^2,A41+FLOOR(A41/5,1)^2)</f>
        <v/>
      </c>
      <c r="D41" s="37">
        <f>FLOOR(A41*0.8,1)</f>
        <v/>
      </c>
      <c r="E41" s="37">
        <f>A41+FLOOR($B$35/5,1)+FLOOR($B$35/5,1)+FLOOR($B$34/4,1)</f>
        <v/>
      </c>
      <c r="F41" s="37">
        <f>$B$34+A41</f>
        <v/>
      </c>
      <c r="G41" s="37">
        <f>A41+$B$34</f>
        <v/>
      </c>
      <c r="H41" s="37">
        <f>A41*0.3+1</f>
        <v/>
      </c>
      <c r="I41" s="37">
        <f>A41*1</f>
        <v/>
      </c>
      <c r="J41" s="37">
        <f>A41*1</f>
        <v/>
      </c>
      <c r="K41" s="37">
        <f>MIN(190,MAX(0,ROUND(200-($B$36-(ROUND($B$36*A41/25,0)+ROUND($B$36*$B$35/100,0))/10),0)))</f>
        <v/>
      </c>
      <c r="L41" s="37">
        <f>MIN(190,MAX(0,ROUND(200-($B$36-(ROUND($B$36*$B$35/25,0)+ROUND($B$36*A41/100,0))/10),0)))</f>
        <v/>
      </c>
    </row>
    <row r="42" ht="15" customHeight="1" s="26">
      <c r="A42" s="37">
        <f>A41+1</f>
        <v/>
      </c>
      <c r="B42" s="37">
        <f>A42+FLOOR(A42/10,1)^2+FLOOR($B$35/5,1)</f>
        <v/>
      </c>
      <c r="C42" s="37">
        <f>AVERAGE(A42+FLOOR(A42/7,1)^2,A42+FLOOR(A42/5,1)^2)</f>
        <v/>
      </c>
      <c r="D42" s="37">
        <f>FLOOR(A42*0.8,1)</f>
        <v/>
      </c>
      <c r="E42" s="37">
        <f>A42+FLOOR($B$35/5,1)+FLOOR($B$35/5,1)+FLOOR($B$34/4,1)</f>
        <v/>
      </c>
      <c r="F42" s="37">
        <f>$B$34+A42</f>
        <v/>
      </c>
      <c r="G42" s="37">
        <f>A42+$B$34</f>
        <v/>
      </c>
      <c r="H42" s="37">
        <f>A42*0.3+1</f>
        <v/>
      </c>
      <c r="I42" s="37">
        <f>A42*1</f>
        <v/>
      </c>
      <c r="J42" s="37">
        <f>A42*1</f>
        <v/>
      </c>
      <c r="K42" s="37">
        <f>MIN(190,MAX(0,ROUND(200-($B$36-(ROUND($B$36*A42/25,0)+ROUND($B$36*$B$35/100,0))/10),0)))</f>
        <v/>
      </c>
      <c r="L42" s="37">
        <f>MIN(190,MAX(0,ROUND(200-($B$36-(ROUND($B$36*$B$35/25,0)+ROUND($B$36*A42/100,0))/10),0)))</f>
        <v/>
      </c>
    </row>
    <row r="43" ht="15" customHeight="1" s="26">
      <c r="A43" s="37">
        <f>A42+1</f>
        <v/>
      </c>
      <c r="B43" s="37">
        <f>A43+FLOOR(A43/10,1)^2+FLOOR($B$35/5,1)</f>
        <v/>
      </c>
      <c r="C43" s="37">
        <f>AVERAGE(A43+FLOOR(A43/7,1)^2,A43+FLOOR(A43/5,1)^2)</f>
        <v/>
      </c>
      <c r="D43" s="37">
        <f>FLOOR(A43*0.8,1)</f>
        <v/>
      </c>
      <c r="E43" s="37">
        <f>A43+FLOOR($B$35/5,1)+FLOOR($B$35/5,1)+FLOOR($B$34/4,1)</f>
        <v/>
      </c>
      <c r="F43" s="37">
        <f>$B$34+A43</f>
        <v/>
      </c>
      <c r="G43" s="37">
        <f>A43+$B$34</f>
        <v/>
      </c>
      <c r="H43" s="37">
        <f>A43*0.3+1</f>
        <v/>
      </c>
      <c r="I43" s="37">
        <f>A43*1</f>
        <v/>
      </c>
      <c r="J43" s="37">
        <f>A43*1</f>
        <v/>
      </c>
      <c r="K43" s="37">
        <f>MIN(190,MAX(0,ROUND(200-($B$36-(ROUND($B$36*A43/25,0)+ROUND($B$36*$B$35/100,0))/10),0)))</f>
        <v/>
      </c>
      <c r="L43" s="37">
        <f>MIN(190,MAX(0,ROUND(200-($B$36-(ROUND($B$36*$B$35/25,0)+ROUND($B$36*A43/100,0))/10),0)))</f>
        <v/>
      </c>
    </row>
    <row r="44" ht="15" customHeight="1" s="26">
      <c r="A44" s="37">
        <f>A43+1</f>
        <v/>
      </c>
      <c r="B44" s="37">
        <f>A44+FLOOR(A44/10,1)^2+FLOOR($B$35/5,1)</f>
        <v/>
      </c>
      <c r="C44" s="37">
        <f>AVERAGE(A44+FLOOR(A44/7,1)^2,A44+FLOOR(A44/5,1)^2)</f>
        <v/>
      </c>
      <c r="D44" s="37">
        <f>FLOOR(A44*0.8,1)</f>
        <v/>
      </c>
      <c r="E44" s="37">
        <f>A44+FLOOR($B$35/5,1)+FLOOR($B$35/5,1)+FLOOR($B$34/4,1)</f>
        <v/>
      </c>
      <c r="F44" s="37">
        <f>$B$34+A44</f>
        <v/>
      </c>
      <c r="G44" s="37">
        <f>A44+$B$34</f>
        <v/>
      </c>
      <c r="H44" s="37">
        <f>A44*0.3+1</f>
        <v/>
      </c>
      <c r="I44" s="37">
        <f>A44*1</f>
        <v/>
      </c>
      <c r="J44" s="37">
        <f>A44*1</f>
        <v/>
      </c>
      <c r="K44" s="37">
        <f>MIN(190,MAX(0,ROUND(200-($B$36-(ROUND($B$36*A44/25,0)+ROUND($B$36*$B$35/100,0))/10),0)))</f>
        <v/>
      </c>
      <c r="L44" s="37">
        <f>MIN(190,MAX(0,ROUND(200-($B$36-(ROUND($B$36*$B$35/25,0)+ROUND($B$36*A44/100,0))/10),0)))</f>
        <v/>
      </c>
    </row>
    <row r="45" ht="15" customHeight="1" s="26">
      <c r="A45" s="37">
        <f>A44+1</f>
        <v/>
      </c>
      <c r="B45" s="37">
        <f>A45+FLOOR(A45/10,1)^2+FLOOR($B$35/5,1)</f>
        <v/>
      </c>
      <c r="C45" s="37">
        <f>AVERAGE(A45+FLOOR(A45/7,1)^2,A45+FLOOR(A45/5,1)^2)</f>
        <v/>
      </c>
      <c r="D45" s="37">
        <f>FLOOR(A45*0.8,1)</f>
        <v/>
      </c>
      <c r="E45" s="37">
        <f>A45+FLOOR($B$35/5,1)+FLOOR($B$35/5,1)+FLOOR($B$34/4,1)</f>
        <v/>
      </c>
      <c r="F45" s="37">
        <f>$B$34+A45</f>
        <v/>
      </c>
      <c r="G45" s="37">
        <f>A45+$B$34</f>
        <v/>
      </c>
      <c r="H45" s="37">
        <f>A45*0.3+1</f>
        <v/>
      </c>
      <c r="I45" s="37">
        <f>A45*1</f>
        <v/>
      </c>
      <c r="J45" s="37">
        <f>A45*1</f>
        <v/>
      </c>
      <c r="K45" s="37">
        <f>MIN(190,MAX(0,ROUND(200-($B$36-(ROUND($B$36*A45/25,0)+ROUND($B$36*$B$35/100,0))/10),0)))</f>
        <v/>
      </c>
      <c r="L45" s="37">
        <f>MIN(190,MAX(0,ROUND(200-($B$36-(ROUND($B$36*$B$35/25,0)+ROUND($B$36*A45/100,0))/10),0)))</f>
        <v/>
      </c>
    </row>
    <row r="46" ht="15" customHeight="1" s="26">
      <c r="A46" s="37">
        <f>A45+1</f>
        <v/>
      </c>
      <c r="B46" s="37">
        <f>A46+FLOOR(A46/10,1)^2+FLOOR($B$35/5,1)</f>
        <v/>
      </c>
      <c r="C46" s="37">
        <f>AVERAGE(A46+FLOOR(A46/7,1)^2,A46+FLOOR(A46/5,1)^2)</f>
        <v/>
      </c>
      <c r="D46" s="37">
        <f>FLOOR(A46*0.8,1)</f>
        <v/>
      </c>
      <c r="E46" s="37">
        <f>A46+FLOOR($B$35/5,1)+FLOOR($B$35/5,1)+FLOOR($B$34/4,1)</f>
        <v/>
      </c>
      <c r="F46" s="37">
        <f>$B$34+A46</f>
        <v/>
      </c>
      <c r="G46" s="37">
        <f>A46+$B$34</f>
        <v/>
      </c>
      <c r="H46" s="37">
        <f>A46*0.3+1</f>
        <v/>
      </c>
      <c r="I46" s="37">
        <f>A46*1</f>
        <v/>
      </c>
      <c r="J46" s="37">
        <f>A46*1</f>
        <v/>
      </c>
      <c r="K46" s="37">
        <f>MIN(190,MAX(0,ROUND(200-($B$36-(ROUND($B$36*A46/25,0)+ROUND($B$36*$B$35/100,0))/10),0)))</f>
        <v/>
      </c>
      <c r="L46" s="37">
        <f>MIN(190,MAX(0,ROUND(200-($B$36-(ROUND($B$36*$B$35/25,0)+ROUND($B$36*A46/100,0))/10),0)))</f>
        <v/>
      </c>
    </row>
    <row r="47" ht="15" customHeight="1" s="26">
      <c r="A47" s="37">
        <f>A46+1</f>
        <v/>
      </c>
      <c r="B47" s="37">
        <f>A47+FLOOR(A47/10,1)^2+FLOOR($B$35/5,1)</f>
        <v/>
      </c>
      <c r="C47" s="37">
        <f>AVERAGE(A47+FLOOR(A47/7,1)^2,A47+FLOOR(A47/5,1)^2)</f>
        <v/>
      </c>
      <c r="D47" s="37">
        <f>FLOOR(A47*0.8,1)</f>
        <v/>
      </c>
      <c r="E47" s="37">
        <f>A47+FLOOR($B$35/5,1)+FLOOR($B$35/5,1)+FLOOR($B$34/4,1)</f>
        <v/>
      </c>
      <c r="F47" s="37">
        <f>$B$34+A47</f>
        <v/>
      </c>
      <c r="G47" s="37">
        <f>A47+$B$34</f>
        <v/>
      </c>
      <c r="H47" s="37">
        <f>A47*0.3+1</f>
        <v/>
      </c>
      <c r="I47" s="37">
        <f>A47*1</f>
        <v/>
      </c>
      <c r="J47" s="37">
        <f>A47*1</f>
        <v/>
      </c>
      <c r="K47" s="37">
        <f>MIN(190,MAX(0,ROUND(200-($B$36-(ROUND($B$36*A47/25,0)+ROUND($B$36*$B$35/100,0))/10),0)))</f>
        <v/>
      </c>
      <c r="L47" s="37">
        <f>MIN(190,MAX(0,ROUND(200-($B$36-(ROUND($B$36*$B$35/25,0)+ROUND($B$36*A47/100,0))/10),0)))</f>
        <v/>
      </c>
    </row>
    <row r="48" ht="15" customHeight="1" s="26">
      <c r="A48" s="37">
        <f>A47+1</f>
        <v/>
      </c>
      <c r="B48" s="37">
        <f>A48+FLOOR(A48/10,1)^2+FLOOR($B$35/5,1)</f>
        <v/>
      </c>
      <c r="C48" s="37">
        <f>AVERAGE(A48+FLOOR(A48/7,1)^2,A48+FLOOR(A48/5,1)^2)</f>
        <v/>
      </c>
      <c r="D48" s="37">
        <f>FLOOR(A48*0.8,1)</f>
        <v/>
      </c>
      <c r="E48" s="37">
        <f>A48+FLOOR($B$35/5,1)+FLOOR($B$35/5,1)+FLOOR($B$34/4,1)</f>
        <v/>
      </c>
      <c r="F48" s="37">
        <f>$B$34+A48</f>
        <v/>
      </c>
      <c r="G48" s="37">
        <f>A48+$B$34</f>
        <v/>
      </c>
      <c r="H48" s="37">
        <f>A48*0.3+1</f>
        <v/>
      </c>
      <c r="I48" s="37">
        <f>A48*1</f>
        <v/>
      </c>
      <c r="J48" s="37">
        <f>A48*1</f>
        <v/>
      </c>
      <c r="K48" s="37">
        <f>MIN(190,MAX(0,ROUND(200-($B$36-(ROUND($B$36*A48/25,0)+ROUND($B$36*$B$35/100,0))/10),0)))</f>
        <v/>
      </c>
      <c r="L48" s="37">
        <f>MIN(190,MAX(0,ROUND(200-($B$36-(ROUND($B$36*$B$35/25,0)+ROUND($B$36*A48/100,0))/10),0)))</f>
        <v/>
      </c>
    </row>
    <row r="49" ht="15" customHeight="1" s="26">
      <c r="A49" s="37">
        <f>A48+1</f>
        <v/>
      </c>
      <c r="B49" s="37">
        <f>A49+FLOOR(A49/10,1)^2+FLOOR($B$35/5,1)</f>
        <v/>
      </c>
      <c r="C49" s="37">
        <f>AVERAGE(A49+FLOOR(A49/7,1)^2,A49+FLOOR(A49/5,1)^2)</f>
        <v/>
      </c>
      <c r="D49" s="37">
        <f>FLOOR(A49*0.8,1)</f>
        <v/>
      </c>
      <c r="E49" s="37">
        <f>A49+FLOOR($B$35/5,1)+FLOOR($B$35/5,1)+FLOOR($B$34/4,1)</f>
        <v/>
      </c>
      <c r="F49" s="37">
        <f>$B$34+A49</f>
        <v/>
      </c>
      <c r="G49" s="37">
        <f>A49+$B$34</f>
        <v/>
      </c>
      <c r="H49" s="37">
        <f>A49*0.3+1</f>
        <v/>
      </c>
      <c r="I49" s="37">
        <f>A49*1</f>
        <v/>
      </c>
      <c r="J49" s="37">
        <f>A49*1</f>
        <v/>
      </c>
      <c r="K49" s="37">
        <f>MIN(190,MAX(0,ROUND(200-($B$36-(ROUND($B$36*A49/25,0)+ROUND($B$36*$B$35/100,0))/10),0)))</f>
        <v/>
      </c>
      <c r="L49" s="37">
        <f>MIN(190,MAX(0,ROUND(200-($B$36-(ROUND($B$36*$B$35/25,0)+ROUND($B$36*A49/100,0))/10),0)))</f>
        <v/>
      </c>
    </row>
    <row r="50" ht="15" customHeight="1" s="26">
      <c r="A50" s="37">
        <f>A49+1</f>
        <v/>
      </c>
      <c r="B50" s="37">
        <f>A50+FLOOR(A50/10,1)^2+FLOOR($B$35/5,1)</f>
        <v/>
      </c>
      <c r="C50" s="37">
        <f>AVERAGE(A50+FLOOR(A50/7,1)^2,A50+FLOOR(A50/5,1)^2)</f>
        <v/>
      </c>
      <c r="D50" s="37">
        <f>FLOOR(A50*0.8,1)</f>
        <v/>
      </c>
      <c r="E50" s="37">
        <f>A50+FLOOR($B$35/5,1)+FLOOR($B$35/5,1)+FLOOR($B$34/4,1)</f>
        <v/>
      </c>
      <c r="F50" s="37">
        <f>$B$34+A50</f>
        <v/>
      </c>
      <c r="G50" s="37">
        <f>A50+$B$34</f>
        <v/>
      </c>
      <c r="H50" s="37">
        <f>A50*0.3+1</f>
        <v/>
      </c>
      <c r="I50" s="37">
        <f>A50*1</f>
        <v/>
      </c>
      <c r="J50" s="37">
        <f>A50*1</f>
        <v/>
      </c>
      <c r="K50" s="37">
        <f>MIN(190,MAX(0,ROUND(200-($B$36-(ROUND($B$36*A50/25,0)+ROUND($B$36*$B$35/100,0))/10),0)))</f>
        <v/>
      </c>
      <c r="L50" s="37">
        <f>MIN(190,MAX(0,ROUND(200-($B$36-(ROUND($B$36*$B$35/25,0)+ROUND($B$36*A50/100,0))/10),0)))</f>
        <v/>
      </c>
    </row>
    <row r="51" ht="15" customHeight="1" s="26">
      <c r="A51" s="37">
        <f>A50+1</f>
        <v/>
      </c>
      <c r="B51" s="37">
        <f>A51+FLOOR(A51/10,1)^2+FLOOR($B$35/5,1)</f>
        <v/>
      </c>
      <c r="C51" s="37">
        <f>AVERAGE(A51+FLOOR(A51/7,1)^2,A51+FLOOR(A51/5,1)^2)</f>
        <v/>
      </c>
      <c r="D51" s="37">
        <f>FLOOR(A51*0.8,1)</f>
        <v/>
      </c>
      <c r="E51" s="37">
        <f>A51+FLOOR($B$35/5,1)+FLOOR($B$35/5,1)+FLOOR($B$34/4,1)</f>
        <v/>
      </c>
      <c r="F51" s="37">
        <f>$B$34+A51</f>
        <v/>
      </c>
      <c r="G51" s="37">
        <f>A51+$B$34</f>
        <v/>
      </c>
      <c r="H51" s="37">
        <f>A51*0.3+1</f>
        <v/>
      </c>
      <c r="I51" s="37">
        <f>A51*1</f>
        <v/>
      </c>
      <c r="J51" s="37">
        <f>A51*1</f>
        <v/>
      </c>
      <c r="K51" s="37">
        <f>MIN(190,MAX(0,ROUND(200-($B$36-(ROUND($B$36*A51/25,0)+ROUND($B$36*$B$35/100,0))/10),0)))</f>
        <v/>
      </c>
      <c r="L51" s="37">
        <f>MIN(190,MAX(0,ROUND(200-($B$36-(ROUND($B$36*$B$35/25,0)+ROUND($B$36*A51/100,0))/10),0)))</f>
        <v/>
      </c>
    </row>
    <row r="52" ht="15" customHeight="1" s="26">
      <c r="A52" s="37">
        <f>A51+1</f>
        <v/>
      </c>
      <c r="B52" s="37">
        <f>A52+FLOOR(A52/10,1)^2+FLOOR($B$35/5,1)</f>
        <v/>
      </c>
      <c r="C52" s="37">
        <f>AVERAGE(A52+FLOOR(A52/7,1)^2,A52+FLOOR(A52/5,1)^2)</f>
        <v/>
      </c>
      <c r="D52" s="37">
        <f>FLOOR(A52*0.8,1)</f>
        <v/>
      </c>
      <c r="E52" s="37">
        <f>A52+FLOOR($B$35/5,1)+FLOOR($B$35/5,1)+FLOOR($B$34/4,1)</f>
        <v/>
      </c>
      <c r="F52" s="37">
        <f>$B$34+A52</f>
        <v/>
      </c>
      <c r="G52" s="37">
        <f>A52+$B$34</f>
        <v/>
      </c>
      <c r="H52" s="37">
        <f>A52*0.3+1</f>
        <v/>
      </c>
      <c r="I52" s="37">
        <f>A52*1</f>
        <v/>
      </c>
      <c r="J52" s="37">
        <f>A52*1</f>
        <v/>
      </c>
      <c r="K52" s="37">
        <f>MIN(190,MAX(0,ROUND(200-($B$36-(ROUND($B$36*A52/25,0)+ROUND($B$36*$B$35/100,0))/10),0)))</f>
        <v/>
      </c>
      <c r="L52" s="37">
        <f>MIN(190,MAX(0,ROUND(200-($B$36-(ROUND($B$36*$B$35/25,0)+ROUND($B$36*A52/100,0))/10),0)))</f>
        <v/>
      </c>
    </row>
    <row r="53" ht="15" customHeight="1" s="26">
      <c r="A53" s="37">
        <f>A52+1</f>
        <v/>
      </c>
      <c r="B53" s="37">
        <f>A53+FLOOR(A53/10,1)^2+FLOOR($B$35/5,1)</f>
        <v/>
      </c>
      <c r="C53" s="37">
        <f>AVERAGE(A53+FLOOR(A53/7,1)^2,A53+FLOOR(A53/5,1)^2)</f>
        <v/>
      </c>
      <c r="D53" s="37">
        <f>FLOOR(A53*0.8,1)</f>
        <v/>
      </c>
      <c r="E53" s="37">
        <f>A53+FLOOR($B$35/5,1)+FLOOR($B$35/5,1)+FLOOR($B$34/4,1)</f>
        <v/>
      </c>
      <c r="F53" s="37">
        <f>$B$34+A53</f>
        <v/>
      </c>
      <c r="G53" s="37">
        <f>A53+$B$34</f>
        <v/>
      </c>
      <c r="H53" s="37">
        <f>A53*0.3+1</f>
        <v/>
      </c>
      <c r="I53" s="37">
        <f>A53*1</f>
        <v/>
      </c>
      <c r="J53" s="37">
        <f>A53*1</f>
        <v/>
      </c>
      <c r="K53" s="37">
        <f>MIN(190,MAX(0,ROUND(200-($B$36-(ROUND($B$36*A53/25,0)+ROUND($B$36*$B$35/100,0))/10),0)))</f>
        <v/>
      </c>
      <c r="L53" s="37">
        <f>MIN(190,MAX(0,ROUND(200-($B$36-(ROUND($B$36*$B$35/25,0)+ROUND($B$36*A53/100,0))/10),0)))</f>
        <v/>
      </c>
    </row>
    <row r="54" ht="15" customHeight="1" s="26">
      <c r="A54" s="37">
        <f>A53+1</f>
        <v/>
      </c>
      <c r="B54" s="37">
        <f>A54+FLOOR(A54/10,1)^2+FLOOR($B$35/5,1)</f>
        <v/>
      </c>
      <c r="C54" s="37">
        <f>AVERAGE(A54+FLOOR(A54/7,1)^2,A54+FLOOR(A54/5,1)^2)</f>
        <v/>
      </c>
      <c r="D54" s="37">
        <f>FLOOR(A54*0.8,1)</f>
        <v/>
      </c>
      <c r="E54" s="37">
        <f>A54+FLOOR($B$35/5,1)+FLOOR($B$35/5,1)+FLOOR($B$34/4,1)</f>
        <v/>
      </c>
      <c r="F54" s="37">
        <f>$B$34+A54</f>
        <v/>
      </c>
      <c r="G54" s="37">
        <f>A54+$B$34</f>
        <v/>
      </c>
      <c r="H54" s="37">
        <f>A54*0.3+1</f>
        <v/>
      </c>
      <c r="I54" s="37">
        <f>A54*1</f>
        <v/>
      </c>
      <c r="J54" s="37">
        <f>A54*1</f>
        <v/>
      </c>
      <c r="K54" s="37">
        <f>MIN(190,MAX(0,ROUND(200-($B$36-(ROUND($B$36*A54/25,0)+ROUND($B$36*$B$35/100,0))/10),0)))</f>
        <v/>
      </c>
      <c r="L54" s="37">
        <f>MIN(190,MAX(0,ROUND(200-($B$36-(ROUND($B$36*$B$35/25,0)+ROUND($B$36*A54/100,0))/10),0)))</f>
        <v/>
      </c>
    </row>
    <row r="55" ht="15" customHeight="1" s="26">
      <c r="A55" s="37">
        <f>A54+1</f>
        <v/>
      </c>
      <c r="B55" s="37">
        <f>A55+FLOOR(A55/10,1)^2+FLOOR($B$35/5,1)</f>
        <v/>
      </c>
      <c r="C55" s="37">
        <f>AVERAGE(A55+FLOOR(A55/7,1)^2,A55+FLOOR(A55/5,1)^2)</f>
        <v/>
      </c>
      <c r="D55" s="37">
        <f>FLOOR(A55*0.8,1)</f>
        <v/>
      </c>
      <c r="E55" s="37">
        <f>A55+FLOOR($B$35/5,1)+FLOOR($B$35/5,1)+FLOOR($B$34/4,1)</f>
        <v/>
      </c>
      <c r="F55" s="37">
        <f>$B$34+A55</f>
        <v/>
      </c>
      <c r="G55" s="37">
        <f>A55+$B$34</f>
        <v/>
      </c>
      <c r="H55" s="37">
        <f>A55*0.3+1</f>
        <v/>
      </c>
      <c r="I55" s="37">
        <f>A55*1</f>
        <v/>
      </c>
      <c r="J55" s="37">
        <f>A55*1</f>
        <v/>
      </c>
      <c r="K55" s="37">
        <f>MIN(190,MAX(0,ROUND(200-($B$36-(ROUND($B$36*A55/25,0)+ROUND($B$36*$B$35/100,0))/10),0)))</f>
        <v/>
      </c>
      <c r="L55" s="37">
        <f>MIN(190,MAX(0,ROUND(200-($B$36-(ROUND($B$36*$B$35/25,0)+ROUND($B$36*A55/100,0))/10),0)))</f>
        <v/>
      </c>
    </row>
    <row r="56" ht="15" customHeight="1" s="26">
      <c r="A56" s="37">
        <f>A55+1</f>
        <v/>
      </c>
      <c r="B56" s="37">
        <f>A56+FLOOR(A56/10,1)^2+FLOOR($B$35/5,1)</f>
        <v/>
      </c>
      <c r="C56" s="37">
        <f>AVERAGE(A56+FLOOR(A56/7,1)^2,A56+FLOOR(A56/5,1)^2)</f>
        <v/>
      </c>
      <c r="D56" s="37">
        <f>FLOOR(A56*0.8,1)</f>
        <v/>
      </c>
      <c r="E56" s="37">
        <f>A56+FLOOR($B$35/5,1)+FLOOR($B$35/5,1)+FLOOR($B$34/4,1)</f>
        <v/>
      </c>
      <c r="F56" s="37">
        <f>$B$34+A56</f>
        <v/>
      </c>
      <c r="G56" s="37">
        <f>A56+$B$34</f>
        <v/>
      </c>
      <c r="H56" s="37">
        <f>A56*0.3+1</f>
        <v/>
      </c>
      <c r="I56" s="37">
        <f>A56*1</f>
        <v/>
      </c>
      <c r="J56" s="37">
        <f>A56*1</f>
        <v/>
      </c>
      <c r="K56" s="37">
        <f>MIN(190,MAX(0,ROUND(200-($B$36-(ROUND($B$36*A56/25,0)+ROUND($B$36*$B$35/100,0))/10),0)))</f>
        <v/>
      </c>
      <c r="L56" s="37">
        <f>MIN(190,MAX(0,ROUND(200-($B$36-(ROUND($B$36*$B$35/25,0)+ROUND($B$36*A56/100,0))/10),0)))</f>
        <v/>
      </c>
    </row>
    <row r="57" ht="15" customHeight="1" s="26">
      <c r="A57" s="37">
        <f>A56+1</f>
        <v/>
      </c>
      <c r="B57" s="37">
        <f>A57+FLOOR(A57/10,1)^2+FLOOR($B$35/5,1)</f>
        <v/>
      </c>
      <c r="C57" s="37">
        <f>AVERAGE(A57+FLOOR(A57/7,1)^2,A57+FLOOR(A57/5,1)^2)</f>
        <v/>
      </c>
      <c r="D57" s="37">
        <f>FLOOR(A57*0.8,1)</f>
        <v/>
      </c>
      <c r="E57" s="37">
        <f>A57+FLOOR($B$35/5,1)+FLOOR($B$35/5,1)+FLOOR($B$34/4,1)</f>
        <v/>
      </c>
      <c r="F57" s="37">
        <f>$B$34+A57</f>
        <v/>
      </c>
      <c r="G57" s="37">
        <f>A57+$B$34</f>
        <v/>
      </c>
      <c r="H57" s="37">
        <f>A57*0.3+1</f>
        <v/>
      </c>
      <c r="I57" s="37">
        <f>A57*1</f>
        <v/>
      </c>
      <c r="J57" s="37">
        <f>A57*1</f>
        <v/>
      </c>
      <c r="K57" s="37">
        <f>MIN(190,MAX(0,ROUND(200-($B$36-(ROUND($B$36*A57/25,0)+ROUND($B$36*$B$35/100,0))/10),0)))</f>
        <v/>
      </c>
      <c r="L57" s="37">
        <f>MIN(190,MAX(0,ROUND(200-($B$36-(ROUND($B$36*$B$35/25,0)+ROUND($B$36*A57/100,0))/10),0)))</f>
        <v/>
      </c>
    </row>
    <row r="58" ht="15" customHeight="1" s="26">
      <c r="A58" s="37">
        <f>A57+1</f>
        <v/>
      </c>
      <c r="B58" s="37">
        <f>A58+FLOOR(A58/10,1)^2+FLOOR($B$35/5,1)</f>
        <v/>
      </c>
      <c r="C58" s="37">
        <f>AVERAGE(A58+FLOOR(A58/7,1)^2,A58+FLOOR(A58/5,1)^2)</f>
        <v/>
      </c>
      <c r="D58" s="37">
        <f>FLOOR(A58*0.8,1)</f>
        <v/>
      </c>
      <c r="E58" s="37">
        <f>A58+FLOOR($B$35/5,1)+FLOOR($B$35/5,1)+FLOOR($B$34/4,1)</f>
        <v/>
      </c>
      <c r="F58" s="37">
        <f>$B$34+A58</f>
        <v/>
      </c>
      <c r="G58" s="37">
        <f>A58+$B$34</f>
        <v/>
      </c>
      <c r="H58" s="37">
        <f>A58*0.3+1</f>
        <v/>
      </c>
      <c r="I58" s="37">
        <f>A58*1</f>
        <v/>
      </c>
      <c r="J58" s="37">
        <f>A58*1</f>
        <v/>
      </c>
      <c r="K58" s="37">
        <f>MIN(190,MAX(0,ROUND(200-($B$36-(ROUND($B$36*A58/25,0)+ROUND($B$36*$B$35/100,0))/10),0)))</f>
        <v/>
      </c>
      <c r="L58" s="37">
        <f>MIN(190,MAX(0,ROUND(200-($B$36-(ROUND($B$36*$B$35/25,0)+ROUND($B$36*A58/100,0))/10),0)))</f>
        <v/>
      </c>
    </row>
    <row r="59" ht="15" customHeight="1" s="26">
      <c r="A59" s="37">
        <f>A58+1</f>
        <v/>
      </c>
      <c r="B59" s="37">
        <f>A59+FLOOR(A59/10,1)^2+FLOOR($B$35/5,1)</f>
        <v/>
      </c>
      <c r="C59" s="37">
        <f>AVERAGE(A59+FLOOR(A59/7,1)^2,A59+FLOOR(A59/5,1)^2)</f>
        <v/>
      </c>
      <c r="D59" s="37">
        <f>FLOOR(A59*0.8,1)</f>
        <v/>
      </c>
      <c r="E59" s="37">
        <f>A59+FLOOR($B$35/5,1)+FLOOR($B$35/5,1)+FLOOR($B$34/4,1)</f>
        <v/>
      </c>
      <c r="F59" s="37">
        <f>$B$34+A59</f>
        <v/>
      </c>
      <c r="G59" s="37">
        <f>A59+$B$34</f>
        <v/>
      </c>
      <c r="H59" s="37">
        <f>A59*0.3+1</f>
        <v/>
      </c>
      <c r="I59" s="37">
        <f>A59*1</f>
        <v/>
      </c>
      <c r="J59" s="37">
        <f>A59*1</f>
        <v/>
      </c>
      <c r="K59" s="37">
        <f>MIN(190,MAX(0,ROUND(200-($B$36-(ROUND($B$36*A59/25,0)+ROUND($B$36*$B$35/100,0))/10),0)))</f>
        <v/>
      </c>
      <c r="L59" s="37">
        <f>MIN(190,MAX(0,ROUND(200-($B$36-(ROUND($B$36*$B$35/25,0)+ROUND($B$36*A59/100,0))/10),0)))</f>
        <v/>
      </c>
    </row>
    <row r="60" ht="15" customHeight="1" s="26">
      <c r="A60" s="37">
        <f>A59+1</f>
        <v/>
      </c>
      <c r="B60" s="37">
        <f>A60+FLOOR(A60/10,1)^2+FLOOR($B$35/5,1)</f>
        <v/>
      </c>
      <c r="C60" s="37">
        <f>AVERAGE(A60+FLOOR(A60/7,1)^2,A60+FLOOR(A60/5,1)^2)</f>
        <v/>
      </c>
      <c r="D60" s="37">
        <f>FLOOR(A60*0.8,1)</f>
        <v/>
      </c>
      <c r="E60" s="37">
        <f>A60+FLOOR($B$35/5,1)+FLOOR($B$35/5,1)+FLOOR($B$34/4,1)</f>
        <v/>
      </c>
      <c r="F60" s="37">
        <f>$B$34+A60</f>
        <v/>
      </c>
      <c r="G60" s="37">
        <f>A60+$B$34</f>
        <v/>
      </c>
      <c r="H60" s="37">
        <f>A60*0.3+1</f>
        <v/>
      </c>
      <c r="I60" s="37">
        <f>A60*1</f>
        <v/>
      </c>
      <c r="J60" s="37">
        <f>A60*1</f>
        <v/>
      </c>
      <c r="K60" s="37">
        <f>MIN(190,MAX(0,ROUND(200-($B$36-(ROUND($B$36*A60/25,0)+ROUND($B$36*$B$35/100,0))/10),0)))</f>
        <v/>
      </c>
      <c r="L60" s="37">
        <f>MIN(190,MAX(0,ROUND(200-($B$36-(ROUND($B$36*$B$35/25,0)+ROUND($B$36*A60/100,0))/10),0)))</f>
        <v/>
      </c>
    </row>
    <row r="61" ht="15" customHeight="1" s="26">
      <c r="A61" s="37">
        <f>A60+1</f>
        <v/>
      </c>
      <c r="B61" s="37">
        <f>A61+FLOOR(A61/10,1)^2+FLOOR($B$35/5,1)</f>
        <v/>
      </c>
      <c r="C61" s="37">
        <f>AVERAGE(A61+FLOOR(A61/7,1)^2,A61+FLOOR(A61/5,1)^2)</f>
        <v/>
      </c>
      <c r="D61" s="37">
        <f>FLOOR(A61*0.8,1)</f>
        <v/>
      </c>
      <c r="E61" s="37">
        <f>A61+FLOOR($B$35/5,1)+FLOOR($B$35/5,1)+FLOOR($B$34/4,1)</f>
        <v/>
      </c>
      <c r="F61" s="37">
        <f>$B$34+A61</f>
        <v/>
      </c>
      <c r="G61" s="37">
        <f>A61+$B$34</f>
        <v/>
      </c>
      <c r="H61" s="37">
        <f>A61*0.3+1</f>
        <v/>
      </c>
      <c r="I61" s="37">
        <f>A61*1</f>
        <v/>
      </c>
      <c r="J61" s="37">
        <f>A61*1</f>
        <v/>
      </c>
      <c r="K61" s="37">
        <f>MIN(190,MAX(0,ROUND(200-($B$36-(ROUND($B$36*A61/25,0)+ROUND($B$36*$B$35/100,0))/10),0)))</f>
        <v/>
      </c>
      <c r="L61" s="37">
        <f>MIN(190,MAX(0,ROUND(200-($B$36-(ROUND($B$36*$B$35/25,0)+ROUND($B$36*A61/100,0))/10),0)))</f>
        <v/>
      </c>
    </row>
    <row r="62" ht="15" customHeight="1" s="26">
      <c r="A62" s="37">
        <f>A61+1</f>
        <v/>
      </c>
      <c r="B62" s="37">
        <f>A62+FLOOR(A62/10,1)^2+FLOOR($B$35/5,1)</f>
        <v/>
      </c>
      <c r="C62" s="37">
        <f>AVERAGE(A62+FLOOR(A62/7,1)^2,A62+FLOOR(A62/5,1)^2)</f>
        <v/>
      </c>
      <c r="D62" s="37">
        <f>FLOOR(A62*0.8,1)</f>
        <v/>
      </c>
      <c r="E62" s="37">
        <f>A62+FLOOR($B$35/5,1)+FLOOR($B$35/5,1)+FLOOR($B$34/4,1)</f>
        <v/>
      </c>
      <c r="F62" s="37">
        <f>$B$34+A62</f>
        <v/>
      </c>
      <c r="G62" s="37">
        <f>A62+$B$34</f>
        <v/>
      </c>
      <c r="H62" s="37">
        <f>A62*0.3+1</f>
        <v/>
      </c>
      <c r="I62" s="37">
        <f>A62*1</f>
        <v/>
      </c>
      <c r="J62" s="37">
        <f>A62*1</f>
        <v/>
      </c>
      <c r="K62" s="37">
        <f>MIN(190,MAX(0,ROUND(200-($B$36-(ROUND($B$36*A62/25,0)+ROUND($B$36*$B$35/100,0))/10),0)))</f>
        <v/>
      </c>
      <c r="L62" s="37">
        <f>MIN(190,MAX(0,ROUND(200-($B$36-(ROUND($B$36*$B$35/25,0)+ROUND($B$36*A62/100,0))/10),0)))</f>
        <v/>
      </c>
    </row>
    <row r="63" ht="15" customHeight="1" s="26">
      <c r="A63" s="37">
        <f>A62+1</f>
        <v/>
      </c>
      <c r="B63" s="37">
        <f>A63+FLOOR(A63/10,1)^2+FLOOR($B$35/5,1)</f>
        <v/>
      </c>
      <c r="C63" s="37">
        <f>AVERAGE(A63+FLOOR(A63/7,1)^2,A63+FLOOR(A63/5,1)^2)</f>
        <v/>
      </c>
      <c r="D63" s="37">
        <f>FLOOR(A63*0.8,1)</f>
        <v/>
      </c>
      <c r="E63" s="37">
        <f>A63+FLOOR($B$35/5,1)+FLOOR($B$35/5,1)+FLOOR($B$34/4,1)</f>
        <v/>
      </c>
      <c r="F63" s="37">
        <f>$B$34+A63</f>
        <v/>
      </c>
      <c r="G63" s="37">
        <f>A63+$B$34</f>
        <v/>
      </c>
      <c r="H63" s="37">
        <f>A63*0.3+1</f>
        <v/>
      </c>
      <c r="I63" s="37">
        <f>A63*1</f>
        <v/>
      </c>
      <c r="J63" s="37">
        <f>A63*1</f>
        <v/>
      </c>
      <c r="K63" s="37">
        <f>MIN(190,MAX(0,ROUND(200-($B$36-(ROUND($B$36*A63/25,0)+ROUND($B$36*$B$35/100,0))/10),0)))</f>
        <v/>
      </c>
      <c r="L63" s="37">
        <f>MIN(190,MAX(0,ROUND(200-($B$36-(ROUND($B$36*$B$35/25,0)+ROUND($B$36*A63/100,0))/10),0)))</f>
        <v/>
      </c>
    </row>
    <row r="64" ht="15" customHeight="1" s="26">
      <c r="A64" s="37">
        <f>A63+1</f>
        <v/>
      </c>
      <c r="B64" s="37">
        <f>A64+FLOOR(A64/10,1)^2+FLOOR($B$35/5,1)</f>
        <v/>
      </c>
      <c r="C64" s="37">
        <f>AVERAGE(A64+FLOOR(A64/7,1)^2,A64+FLOOR(A64/5,1)^2)</f>
        <v/>
      </c>
      <c r="D64" s="37">
        <f>FLOOR(A64*0.8,1)</f>
        <v/>
      </c>
      <c r="E64" s="37">
        <f>A64+FLOOR($B$35/5,1)+FLOOR($B$35/5,1)+FLOOR($B$34/4,1)</f>
        <v/>
      </c>
      <c r="F64" s="37">
        <f>$B$34+A64</f>
        <v/>
      </c>
      <c r="G64" s="37">
        <f>A64+$B$34</f>
        <v/>
      </c>
      <c r="H64" s="37">
        <f>A64*0.3+1</f>
        <v/>
      </c>
      <c r="I64" s="37">
        <f>A64*1</f>
        <v/>
      </c>
      <c r="J64" s="37">
        <f>A64*1</f>
        <v/>
      </c>
      <c r="K64" s="37">
        <f>MIN(190,MAX(0,ROUND(200-($B$36-(ROUND($B$36*A64/25,0)+ROUND($B$36*$B$35/100,0))/10),0)))</f>
        <v/>
      </c>
      <c r="L64" s="37">
        <f>MIN(190,MAX(0,ROUND(200-($B$36-(ROUND($B$36*$B$35/25,0)+ROUND($B$36*A64/100,0))/10),0)))</f>
        <v/>
      </c>
    </row>
    <row r="65" ht="15" customHeight="1" s="26">
      <c r="A65" s="37">
        <f>A64+1</f>
        <v/>
      </c>
      <c r="B65" s="37">
        <f>A65+FLOOR(A65/10,1)^2+FLOOR($B$35/5,1)</f>
        <v/>
      </c>
      <c r="C65" s="37">
        <f>AVERAGE(A65+FLOOR(A65/7,1)^2,A65+FLOOR(A65/5,1)^2)</f>
        <v/>
      </c>
      <c r="D65" s="37">
        <f>FLOOR(A65*0.8,1)</f>
        <v/>
      </c>
      <c r="E65" s="37">
        <f>A65+FLOOR($B$35/5,1)+FLOOR($B$35/5,1)+FLOOR($B$34/4,1)</f>
        <v/>
      </c>
      <c r="F65" s="37">
        <f>$B$34+A65</f>
        <v/>
      </c>
      <c r="G65" s="37">
        <f>A65+$B$34</f>
        <v/>
      </c>
      <c r="H65" s="37">
        <f>A65*0.3+1</f>
        <v/>
      </c>
      <c r="I65" s="37">
        <f>A65*1</f>
        <v/>
      </c>
      <c r="J65" s="37">
        <f>A65*1</f>
        <v/>
      </c>
      <c r="K65" s="37">
        <f>MIN(190,MAX(0,ROUND(200-($B$36-(ROUND($B$36*A65/25,0)+ROUND($B$36*$B$35/100,0))/10),0)))</f>
        <v/>
      </c>
      <c r="L65" s="37">
        <f>MIN(190,MAX(0,ROUND(200-($B$36-(ROUND($B$36*$B$35/25,0)+ROUND($B$36*A65/100,0))/10),0)))</f>
        <v/>
      </c>
    </row>
    <row r="66" ht="15" customHeight="1" s="26">
      <c r="A66" s="37">
        <f>A65+1</f>
        <v/>
      </c>
      <c r="B66" s="37">
        <f>A66+FLOOR(A66/10,1)^2+FLOOR($B$35/5,1)</f>
        <v/>
      </c>
      <c r="C66" s="37">
        <f>AVERAGE(A66+FLOOR(A66/7,1)^2,A66+FLOOR(A66/5,1)^2)</f>
        <v/>
      </c>
      <c r="D66" s="37">
        <f>FLOOR(A66*0.8,1)</f>
        <v/>
      </c>
      <c r="E66" s="37">
        <f>A66+FLOOR($B$35/5,1)+FLOOR($B$35/5,1)+FLOOR($B$34/4,1)</f>
        <v/>
      </c>
      <c r="F66" s="37">
        <f>$B$34+A66</f>
        <v/>
      </c>
      <c r="G66" s="37">
        <f>A66+$B$34</f>
        <v/>
      </c>
      <c r="H66" s="37">
        <f>A66*0.3+1</f>
        <v/>
      </c>
      <c r="I66" s="37">
        <f>A66*1</f>
        <v/>
      </c>
      <c r="J66" s="37">
        <f>A66*1</f>
        <v/>
      </c>
      <c r="K66" s="37">
        <f>MIN(190,MAX(0,ROUND(200-($B$36-(ROUND($B$36*A66/25,0)+ROUND($B$36*$B$35/100,0))/10),0)))</f>
        <v/>
      </c>
      <c r="L66" s="37">
        <f>MIN(190,MAX(0,ROUND(200-($B$36-(ROUND($B$36*$B$35/25,0)+ROUND($B$36*A66/100,0))/10),0)))</f>
        <v/>
      </c>
    </row>
    <row r="67" ht="15" customHeight="1" s="26">
      <c r="A67" s="37">
        <f>A66+1</f>
        <v/>
      </c>
      <c r="B67" s="37">
        <f>A67+FLOOR(A67/10,1)^2+FLOOR($B$35/5,1)</f>
        <v/>
      </c>
      <c r="C67" s="37">
        <f>AVERAGE(A67+FLOOR(A67/7,1)^2,A67+FLOOR(A67/5,1)^2)</f>
        <v/>
      </c>
      <c r="D67" s="37">
        <f>FLOOR(A67*0.8,1)</f>
        <v/>
      </c>
      <c r="E67" s="37">
        <f>A67+FLOOR($B$35/5,1)+FLOOR($B$35/5,1)+FLOOR($B$34/4,1)</f>
        <v/>
      </c>
      <c r="F67" s="37">
        <f>$B$34+A67</f>
        <v/>
      </c>
      <c r="G67" s="37">
        <f>A67+$B$34</f>
        <v/>
      </c>
      <c r="H67" s="37">
        <f>A67*0.3+1</f>
        <v/>
      </c>
      <c r="I67" s="37">
        <f>A67*1</f>
        <v/>
      </c>
      <c r="J67" s="37">
        <f>A67*1</f>
        <v/>
      </c>
      <c r="K67" s="37">
        <f>MIN(190,MAX(0,ROUND(200-($B$36-(ROUND($B$36*A67/25,0)+ROUND($B$36*$B$35/100,0))/10),0)))</f>
        <v/>
      </c>
      <c r="L67" s="37">
        <f>MIN(190,MAX(0,ROUND(200-($B$36-(ROUND($B$36*$B$35/25,0)+ROUND($B$36*A67/100,0))/10),0)))</f>
        <v/>
      </c>
    </row>
    <row r="68" ht="15" customHeight="1" s="26">
      <c r="A68" s="37">
        <f>A67+1</f>
        <v/>
      </c>
      <c r="B68" s="37">
        <f>A68+FLOOR(A68/10,1)^2+FLOOR($B$35/5,1)</f>
        <v/>
      </c>
      <c r="C68" s="37">
        <f>AVERAGE(A68+FLOOR(A68/7,1)^2,A68+FLOOR(A68/5,1)^2)</f>
        <v/>
      </c>
      <c r="D68" s="37">
        <f>FLOOR(A68*0.8,1)</f>
        <v/>
      </c>
      <c r="E68" s="37">
        <f>A68+FLOOR($B$35/5,1)+FLOOR($B$35/5,1)+FLOOR($B$34/4,1)</f>
        <v/>
      </c>
      <c r="F68" s="37">
        <f>$B$34+A68</f>
        <v/>
      </c>
      <c r="G68" s="37">
        <f>A68+$B$34</f>
        <v/>
      </c>
      <c r="H68" s="37">
        <f>A68*0.3+1</f>
        <v/>
      </c>
      <c r="I68" s="37">
        <f>A68*1</f>
        <v/>
      </c>
      <c r="J68" s="37">
        <f>A68*1</f>
        <v/>
      </c>
      <c r="K68" s="37">
        <f>MIN(190,MAX(0,ROUND(200-($B$36-(ROUND($B$36*A68/25,0)+ROUND($B$36*$B$35/100,0))/10),0)))</f>
        <v/>
      </c>
      <c r="L68" s="37">
        <f>MIN(190,MAX(0,ROUND(200-($B$36-(ROUND($B$36*$B$35/25,0)+ROUND($B$36*A68/100,0))/10),0)))</f>
        <v/>
      </c>
    </row>
    <row r="69" ht="15" customHeight="1" s="26">
      <c r="A69" s="37">
        <f>A68+1</f>
        <v/>
      </c>
      <c r="B69" s="37">
        <f>A69+FLOOR(A69/10,1)^2+FLOOR($B$35/5,1)</f>
        <v/>
      </c>
      <c r="C69" s="37">
        <f>AVERAGE(A69+FLOOR(A69/7,1)^2,A69+FLOOR(A69/5,1)^2)</f>
        <v/>
      </c>
      <c r="D69" s="37">
        <f>FLOOR(A69*0.8,1)</f>
        <v/>
      </c>
      <c r="E69" s="37">
        <f>A69+FLOOR($B$35/5,1)+FLOOR($B$35/5,1)+FLOOR($B$34/4,1)</f>
        <v/>
      </c>
      <c r="F69" s="37">
        <f>$B$34+A69</f>
        <v/>
      </c>
      <c r="G69" s="37">
        <f>A69+$B$34</f>
        <v/>
      </c>
      <c r="H69" s="37">
        <f>A69*0.3+1</f>
        <v/>
      </c>
      <c r="I69" s="37">
        <f>A69*1</f>
        <v/>
      </c>
      <c r="J69" s="37">
        <f>A69*1</f>
        <v/>
      </c>
      <c r="K69" s="37">
        <f>MIN(190,MAX(0,ROUND(200-($B$36-(ROUND($B$36*A69/25,0)+ROUND($B$36*$B$35/100,0))/10),0)))</f>
        <v/>
      </c>
      <c r="L69" s="37">
        <f>MIN(190,MAX(0,ROUND(200-($B$36-(ROUND($B$36*$B$35/25,0)+ROUND($B$36*A69/100,0))/10),0)))</f>
        <v/>
      </c>
    </row>
    <row r="70" ht="15" customHeight="1" s="26">
      <c r="A70" s="37">
        <f>A69+1</f>
        <v/>
      </c>
      <c r="B70" s="37">
        <f>A70+FLOOR(A70/10,1)^2+FLOOR($B$35/5,1)</f>
        <v/>
      </c>
      <c r="C70" s="37">
        <f>AVERAGE(A70+FLOOR(A70/7,1)^2,A70+FLOOR(A70/5,1)^2)</f>
        <v/>
      </c>
      <c r="D70" s="37">
        <f>FLOOR(A70*0.8,1)</f>
        <v/>
      </c>
      <c r="E70" s="37">
        <f>A70+FLOOR($B$35/5,1)+FLOOR($B$35/5,1)+FLOOR($B$34/4,1)</f>
        <v/>
      </c>
      <c r="F70" s="37">
        <f>$B$34+A70</f>
        <v/>
      </c>
      <c r="G70" s="37">
        <f>A70+$B$34</f>
        <v/>
      </c>
      <c r="H70" s="37">
        <f>A70*0.3+1</f>
        <v/>
      </c>
      <c r="I70" s="37">
        <f>A70*1</f>
        <v/>
      </c>
      <c r="J70" s="37">
        <f>A70*1</f>
        <v/>
      </c>
      <c r="K70" s="37">
        <f>MIN(190,MAX(0,ROUND(200-($B$36-(ROUND($B$36*A70/25,0)+ROUND($B$36*$B$35/100,0))/10),0)))</f>
        <v/>
      </c>
      <c r="L70" s="37">
        <f>MIN(190,MAX(0,ROUND(200-($B$36-(ROUND($B$36*$B$35/25,0)+ROUND($B$36*A70/100,0))/10),0)))</f>
        <v/>
      </c>
    </row>
    <row r="71" ht="15" customHeight="1" s="26">
      <c r="A71" s="37">
        <f>A70+1</f>
        <v/>
      </c>
      <c r="B71" s="37">
        <f>A71+FLOOR(A71/10,1)^2+FLOOR($B$35/5,1)</f>
        <v/>
      </c>
      <c r="C71" s="37">
        <f>AVERAGE(A71+FLOOR(A71/7,1)^2,A71+FLOOR(A71/5,1)^2)</f>
        <v/>
      </c>
      <c r="D71" s="37">
        <f>FLOOR(A71*0.8,1)</f>
        <v/>
      </c>
      <c r="E71" s="37">
        <f>A71+FLOOR($B$35/5,1)+FLOOR($B$35/5,1)+FLOOR($B$34/4,1)</f>
        <v/>
      </c>
      <c r="F71" s="37">
        <f>$B$34+A71</f>
        <v/>
      </c>
      <c r="G71" s="37">
        <f>A71+$B$34</f>
        <v/>
      </c>
      <c r="H71" s="37">
        <f>A71*0.3+1</f>
        <v/>
      </c>
      <c r="I71" s="37">
        <f>A71*1</f>
        <v/>
      </c>
      <c r="J71" s="37">
        <f>A71*1</f>
        <v/>
      </c>
      <c r="K71" s="37">
        <f>MIN(190,MAX(0,ROUND(200-($B$36-(ROUND($B$36*A71/25,0)+ROUND($B$36*$B$35/100,0))/10),0)))</f>
        <v/>
      </c>
      <c r="L71" s="37">
        <f>MIN(190,MAX(0,ROUND(200-($B$36-(ROUND($B$36*$B$35/25,0)+ROUND($B$36*A71/100,0))/10),0)))</f>
        <v/>
      </c>
    </row>
    <row r="72" ht="15" customHeight="1" s="26">
      <c r="A72" s="37">
        <f>A71+1</f>
        <v/>
      </c>
      <c r="B72" s="37">
        <f>A72+FLOOR(A72/10,1)^2+FLOOR($B$35/5,1)</f>
        <v/>
      </c>
      <c r="C72" s="37">
        <f>AVERAGE(A72+FLOOR(A72/7,1)^2,A72+FLOOR(A72/5,1)^2)</f>
        <v/>
      </c>
      <c r="D72" s="37">
        <f>FLOOR(A72*0.8,1)</f>
        <v/>
      </c>
      <c r="E72" s="37">
        <f>A72+FLOOR($B$35/5,1)+FLOOR($B$35/5,1)+FLOOR($B$34/4,1)</f>
        <v/>
      </c>
      <c r="F72" s="37">
        <f>$B$34+A72</f>
        <v/>
      </c>
      <c r="G72" s="37">
        <f>A72+$B$34</f>
        <v/>
      </c>
      <c r="H72" s="37">
        <f>A72*0.3+1</f>
        <v/>
      </c>
      <c r="I72" s="37">
        <f>A72*1</f>
        <v/>
      </c>
      <c r="J72" s="37">
        <f>A72*1</f>
        <v/>
      </c>
      <c r="K72" s="37">
        <f>MIN(190,MAX(0,ROUND(200-($B$36-(ROUND($B$36*A72/25,0)+ROUND($B$36*$B$35/100,0))/10),0)))</f>
        <v/>
      </c>
      <c r="L72" s="37">
        <f>MIN(190,MAX(0,ROUND(200-($B$36-(ROUND($B$36*$B$35/25,0)+ROUND($B$36*A72/100,0))/10),0)))</f>
        <v/>
      </c>
    </row>
    <row r="73" ht="15" customHeight="1" s="26">
      <c r="A73" s="37">
        <f>A72+1</f>
        <v/>
      </c>
      <c r="B73" s="37">
        <f>A73+FLOOR(A73/10,1)^2+FLOOR($B$35/5,1)</f>
        <v/>
      </c>
      <c r="C73" s="37">
        <f>AVERAGE(A73+FLOOR(A73/7,1)^2,A73+FLOOR(A73/5,1)^2)</f>
        <v/>
      </c>
      <c r="D73" s="37">
        <f>FLOOR(A73*0.8,1)</f>
        <v/>
      </c>
      <c r="E73" s="37">
        <f>A73+FLOOR($B$35/5,1)+FLOOR($B$35/5,1)+FLOOR($B$34/4,1)</f>
        <v/>
      </c>
      <c r="F73" s="37">
        <f>$B$34+A73</f>
        <v/>
      </c>
      <c r="G73" s="37">
        <f>A73+$B$34</f>
        <v/>
      </c>
      <c r="H73" s="37">
        <f>A73*0.3+1</f>
        <v/>
      </c>
      <c r="I73" s="37">
        <f>A73*1</f>
        <v/>
      </c>
      <c r="J73" s="37">
        <f>A73*1</f>
        <v/>
      </c>
      <c r="K73" s="37">
        <f>MIN(190,MAX(0,ROUND(200-($B$36-(ROUND($B$36*A73/25,0)+ROUND($B$36*$B$35/100,0))/10),0)))</f>
        <v/>
      </c>
      <c r="L73" s="37">
        <f>MIN(190,MAX(0,ROUND(200-($B$36-(ROUND($B$36*$B$35/25,0)+ROUND($B$36*A73/100,0))/10),0)))</f>
        <v/>
      </c>
    </row>
    <row r="74" ht="15" customHeight="1" s="26">
      <c r="A74" s="37">
        <f>A73+1</f>
        <v/>
      </c>
      <c r="B74" s="37">
        <f>A74+FLOOR(A74/10,1)^2+FLOOR($B$35/5,1)</f>
        <v/>
      </c>
      <c r="C74" s="37">
        <f>AVERAGE(A74+FLOOR(A74/7,1)^2,A74+FLOOR(A74/5,1)^2)</f>
        <v/>
      </c>
      <c r="D74" s="37">
        <f>FLOOR(A74*0.8,1)</f>
        <v/>
      </c>
      <c r="E74" s="37">
        <f>A74+FLOOR($B$35/5,1)+FLOOR($B$35/5,1)+FLOOR($B$34/4,1)</f>
        <v/>
      </c>
      <c r="F74" s="37">
        <f>$B$34+A74</f>
        <v/>
      </c>
      <c r="G74" s="37">
        <f>A74+$B$34</f>
        <v/>
      </c>
      <c r="H74" s="37">
        <f>A74*0.3+1</f>
        <v/>
      </c>
      <c r="I74" s="37">
        <f>A74*1</f>
        <v/>
      </c>
      <c r="J74" s="37">
        <f>A74*1</f>
        <v/>
      </c>
      <c r="K74" s="37">
        <f>MIN(190,MAX(0,ROUND(200-($B$36-(ROUND($B$36*A74/25,0)+ROUND($B$36*$B$35/100,0))/10),0)))</f>
        <v/>
      </c>
      <c r="L74" s="37">
        <f>MIN(190,MAX(0,ROUND(200-($B$36-(ROUND($B$36*$B$35/25,0)+ROUND($B$36*A74/100,0))/10),0)))</f>
        <v/>
      </c>
    </row>
    <row r="75" ht="15" customHeight="1" s="26">
      <c r="A75" s="37">
        <f>A74+1</f>
        <v/>
      </c>
      <c r="B75" s="37">
        <f>A75+FLOOR(A75/10,1)^2+FLOOR($B$35/5,1)</f>
        <v/>
      </c>
      <c r="C75" s="37">
        <f>AVERAGE(A75+FLOOR(A75/7,1)^2,A75+FLOOR(A75/5,1)^2)</f>
        <v/>
      </c>
      <c r="D75" s="37">
        <f>FLOOR(A75*0.8,1)</f>
        <v/>
      </c>
      <c r="E75" s="37">
        <f>A75+FLOOR($B$35/5,1)+FLOOR($B$35/5,1)+FLOOR($B$34/4,1)</f>
        <v/>
      </c>
      <c r="F75" s="37">
        <f>$B$34+A75</f>
        <v/>
      </c>
      <c r="G75" s="37">
        <f>A75+$B$34</f>
        <v/>
      </c>
      <c r="H75" s="37">
        <f>A75*0.3+1</f>
        <v/>
      </c>
      <c r="I75" s="37">
        <f>A75*1</f>
        <v/>
      </c>
      <c r="J75" s="37">
        <f>A75*1</f>
        <v/>
      </c>
      <c r="K75" s="37">
        <f>MIN(190,MAX(0,ROUND(200-($B$36-(ROUND($B$36*A75/25,0)+ROUND($B$36*$B$35/100,0))/10),0)))</f>
        <v/>
      </c>
      <c r="L75" s="37">
        <f>MIN(190,MAX(0,ROUND(200-($B$36-(ROUND($B$36*$B$35/25,0)+ROUND($B$36*A75/100,0))/10),0)))</f>
        <v/>
      </c>
    </row>
    <row r="76" ht="15" customHeight="1" s="26">
      <c r="A76" s="37">
        <f>A75+1</f>
        <v/>
      </c>
      <c r="B76" s="37">
        <f>A76+FLOOR(A76/10,1)^2+FLOOR($B$35/5,1)</f>
        <v/>
      </c>
      <c r="C76" s="37">
        <f>AVERAGE(A76+FLOOR(A76/7,1)^2,A76+FLOOR(A76/5,1)^2)</f>
        <v/>
      </c>
      <c r="D76" s="37">
        <f>FLOOR(A76*0.8,1)</f>
        <v/>
      </c>
      <c r="E76" s="37">
        <f>A76+FLOOR($B$35/5,1)+FLOOR($B$35/5,1)+FLOOR($B$34/4,1)</f>
        <v/>
      </c>
      <c r="F76" s="37">
        <f>$B$34+A76</f>
        <v/>
      </c>
      <c r="G76" s="37">
        <f>A76+$B$34</f>
        <v/>
      </c>
      <c r="H76" s="37">
        <f>A76*0.3+1</f>
        <v/>
      </c>
      <c r="I76" s="37">
        <f>A76*1</f>
        <v/>
      </c>
      <c r="J76" s="37">
        <f>A76*1</f>
        <v/>
      </c>
      <c r="K76" s="37">
        <f>MIN(190,MAX(0,ROUND(200-($B$36-(ROUND($B$36*A76/25,0)+ROUND($B$36*$B$35/100,0))/10),0)))</f>
        <v/>
      </c>
      <c r="L76" s="37">
        <f>MIN(190,MAX(0,ROUND(200-($B$36-(ROUND($B$36*$B$35/25,0)+ROUND($B$36*A76/100,0))/10),0)))</f>
        <v/>
      </c>
    </row>
    <row r="77" ht="15" customHeight="1" s="26">
      <c r="A77" s="37">
        <f>A76+1</f>
        <v/>
      </c>
      <c r="B77" s="37">
        <f>A77+FLOOR(A77/10,1)^2+FLOOR($B$35/5,1)</f>
        <v/>
      </c>
      <c r="C77" s="37">
        <f>AVERAGE(A77+FLOOR(A77/7,1)^2,A77+FLOOR(A77/5,1)^2)</f>
        <v/>
      </c>
      <c r="D77" s="37">
        <f>FLOOR(A77*0.8,1)</f>
        <v/>
      </c>
      <c r="E77" s="37">
        <f>A77+FLOOR($B$35/5,1)+FLOOR($B$35/5,1)+FLOOR($B$34/4,1)</f>
        <v/>
      </c>
      <c r="F77" s="37">
        <f>$B$34+A77</f>
        <v/>
      </c>
      <c r="G77" s="37">
        <f>A77+$B$34</f>
        <v/>
      </c>
      <c r="H77" s="37">
        <f>A77*0.3+1</f>
        <v/>
      </c>
      <c r="I77" s="37">
        <f>A77*1</f>
        <v/>
      </c>
      <c r="J77" s="37">
        <f>A77*1</f>
        <v/>
      </c>
      <c r="K77" s="37">
        <f>MIN(190,MAX(0,ROUND(200-($B$36-(ROUND($B$36*A77/25,0)+ROUND($B$36*$B$35/100,0))/10),0)))</f>
        <v/>
      </c>
      <c r="L77" s="37">
        <f>MIN(190,MAX(0,ROUND(200-($B$36-(ROUND($B$36*$B$35/25,0)+ROUND($B$36*A77/100,0))/10),0)))</f>
        <v/>
      </c>
    </row>
    <row r="78" ht="15" customHeight="1" s="26">
      <c r="A78" s="37">
        <f>A77+1</f>
        <v/>
      </c>
      <c r="B78" s="37">
        <f>A78+FLOOR(A78/10,1)^2+FLOOR($B$35/5,1)</f>
        <v/>
      </c>
      <c r="C78" s="37">
        <f>AVERAGE(A78+FLOOR(A78/7,1)^2,A78+FLOOR(A78/5,1)^2)</f>
        <v/>
      </c>
      <c r="D78" s="37">
        <f>FLOOR(A78*0.8,1)</f>
        <v/>
      </c>
      <c r="E78" s="37">
        <f>A78+FLOOR($B$35/5,1)+FLOOR($B$35/5,1)+FLOOR($B$34/4,1)</f>
        <v/>
      </c>
      <c r="F78" s="37">
        <f>$B$34+A78</f>
        <v/>
      </c>
      <c r="G78" s="37">
        <f>A78+$B$34</f>
        <v/>
      </c>
      <c r="H78" s="37">
        <f>A78*0.3+1</f>
        <v/>
      </c>
      <c r="I78" s="37">
        <f>A78*1</f>
        <v/>
      </c>
      <c r="J78" s="37">
        <f>A78*1</f>
        <v/>
      </c>
      <c r="K78" s="37">
        <f>MIN(190,MAX(0,ROUND(200-($B$36-(ROUND($B$36*A78/25,0)+ROUND($B$36*$B$35/100,0))/10),0)))</f>
        <v/>
      </c>
      <c r="L78" s="37">
        <f>MIN(190,MAX(0,ROUND(200-($B$36-(ROUND($B$36*$B$35/25,0)+ROUND($B$36*A78/100,0))/10),0)))</f>
        <v/>
      </c>
    </row>
    <row r="79" ht="15" customHeight="1" s="26">
      <c r="A79" s="37">
        <f>A78+1</f>
        <v/>
      </c>
      <c r="B79" s="37">
        <f>A79+FLOOR(A79/10,1)^2+FLOOR($B$35/5,1)</f>
        <v/>
      </c>
      <c r="C79" s="37">
        <f>AVERAGE(A79+FLOOR(A79/7,1)^2,A79+FLOOR(A79/5,1)^2)</f>
        <v/>
      </c>
      <c r="D79" s="37">
        <f>FLOOR(A79*0.8,1)</f>
        <v/>
      </c>
      <c r="E79" s="37">
        <f>A79+FLOOR($B$35/5,1)+FLOOR($B$35/5,1)+FLOOR($B$34/4,1)</f>
        <v/>
      </c>
      <c r="F79" s="37">
        <f>$B$34+A79</f>
        <v/>
      </c>
      <c r="G79" s="37">
        <f>A79+$B$34</f>
        <v/>
      </c>
      <c r="H79" s="37">
        <f>A79*0.3+1</f>
        <v/>
      </c>
      <c r="I79" s="37">
        <f>A79*1</f>
        <v/>
      </c>
      <c r="J79" s="37">
        <f>A79*1</f>
        <v/>
      </c>
      <c r="K79" s="37">
        <f>MIN(190,MAX(0,ROUND(200-($B$36-(ROUND($B$36*A79/25,0)+ROUND($B$36*$B$35/100,0))/10),0)))</f>
        <v/>
      </c>
      <c r="L79" s="37">
        <f>MIN(190,MAX(0,ROUND(200-($B$36-(ROUND($B$36*$B$35/25,0)+ROUND($B$36*A79/100,0))/10),0)))</f>
        <v/>
      </c>
    </row>
    <row r="80" ht="15" customHeight="1" s="26">
      <c r="A80" s="37">
        <f>A79+1</f>
        <v/>
      </c>
      <c r="B80" s="37">
        <f>A80+FLOOR(A80/10,1)^2+FLOOR($B$35/5,1)</f>
        <v/>
      </c>
      <c r="C80" s="37">
        <f>AVERAGE(A80+FLOOR(A80/7,1)^2,A80+FLOOR(A80/5,1)^2)</f>
        <v/>
      </c>
      <c r="D80" s="37">
        <f>FLOOR(A80*0.8,1)</f>
        <v/>
      </c>
      <c r="E80" s="37">
        <f>A80+FLOOR($B$35/5,1)+FLOOR($B$35/5,1)+FLOOR($B$34/4,1)</f>
        <v/>
      </c>
      <c r="F80" s="37">
        <f>$B$34+A80</f>
        <v/>
      </c>
      <c r="G80" s="37">
        <f>A80+$B$34</f>
        <v/>
      </c>
      <c r="H80" s="37">
        <f>A80*0.3+1</f>
        <v/>
      </c>
      <c r="I80" s="37">
        <f>A80*1</f>
        <v/>
      </c>
      <c r="J80" s="37">
        <f>A80*1</f>
        <v/>
      </c>
      <c r="K80" s="37">
        <f>MIN(190,MAX(0,ROUND(200-($B$36-(ROUND($B$36*A80/25,0)+ROUND($B$36*$B$35/100,0))/10),0)))</f>
        <v/>
      </c>
      <c r="L80" s="37">
        <f>MIN(190,MAX(0,ROUND(200-($B$36-(ROUND($B$36*$B$35/25,0)+ROUND($B$36*A80/100,0))/10),0)))</f>
        <v/>
      </c>
    </row>
    <row r="81" ht="15" customHeight="1" s="26">
      <c r="A81" s="37">
        <f>A80+1</f>
        <v/>
      </c>
      <c r="B81" s="37">
        <f>A81+FLOOR(A81/10,1)^2+FLOOR($B$35/5,1)</f>
        <v/>
      </c>
      <c r="C81" s="37">
        <f>AVERAGE(A81+FLOOR(A81/7,1)^2,A81+FLOOR(A81/5,1)^2)</f>
        <v/>
      </c>
      <c r="D81" s="37">
        <f>FLOOR(A81*0.8,1)</f>
        <v/>
      </c>
      <c r="E81" s="37">
        <f>A81+FLOOR($B$35/5,1)+FLOOR($B$35/5,1)+FLOOR($B$34/4,1)</f>
        <v/>
      </c>
      <c r="F81" s="37">
        <f>$B$34+A81</f>
        <v/>
      </c>
      <c r="G81" s="37">
        <f>A81+$B$34</f>
        <v/>
      </c>
      <c r="H81" s="37">
        <f>A81*0.3+1</f>
        <v/>
      </c>
      <c r="I81" s="37">
        <f>A81*1</f>
        <v/>
      </c>
      <c r="J81" s="37">
        <f>A81*1</f>
        <v/>
      </c>
      <c r="K81" s="37">
        <f>MIN(190,MAX(0,ROUND(200-($B$36-(ROUND($B$36*A81/25,0)+ROUND($B$36*$B$35/100,0))/10),0)))</f>
        <v/>
      </c>
      <c r="L81" s="37">
        <f>MIN(190,MAX(0,ROUND(200-($B$36-(ROUND($B$36*$B$35/25,0)+ROUND($B$36*A81/100,0))/10),0)))</f>
        <v/>
      </c>
    </row>
    <row r="82" ht="15" customHeight="1" s="26">
      <c r="A82" s="37">
        <f>A81+1</f>
        <v/>
      </c>
      <c r="B82" s="37">
        <f>A82+FLOOR(A82/10,1)^2+FLOOR($B$35/5,1)</f>
        <v/>
      </c>
      <c r="C82" s="37">
        <f>AVERAGE(A82+FLOOR(A82/7,1)^2,A82+FLOOR(A82/5,1)^2)</f>
        <v/>
      </c>
      <c r="D82" s="37">
        <f>FLOOR(A82*0.8,1)</f>
        <v/>
      </c>
      <c r="E82" s="37">
        <f>A82+FLOOR($B$35/5,1)+FLOOR($B$35/5,1)+FLOOR($B$34/4,1)</f>
        <v/>
      </c>
      <c r="F82" s="37">
        <f>$B$34+A82</f>
        <v/>
      </c>
      <c r="G82" s="37">
        <f>A82+$B$34</f>
        <v/>
      </c>
      <c r="H82" s="37">
        <f>A82*0.3+1</f>
        <v/>
      </c>
      <c r="I82" s="37">
        <f>A82*1</f>
        <v/>
      </c>
      <c r="J82" s="37">
        <f>A82*1</f>
        <v/>
      </c>
      <c r="K82" s="37">
        <f>MIN(190,MAX(0,ROUND(200-($B$36-(ROUND($B$36*A82/25,0)+ROUND($B$36*$B$35/100,0))/10),0)))</f>
        <v/>
      </c>
      <c r="L82" s="37">
        <f>MIN(190,MAX(0,ROUND(200-($B$36-(ROUND($B$36*$B$35/25,0)+ROUND($B$36*A82/100,0))/10),0)))</f>
        <v/>
      </c>
    </row>
    <row r="83" ht="15" customHeight="1" s="26">
      <c r="A83" s="37">
        <f>A82+1</f>
        <v/>
      </c>
      <c r="B83" s="37">
        <f>A83+FLOOR(A83/10,1)^2+FLOOR($B$35/5,1)</f>
        <v/>
      </c>
      <c r="C83" s="37">
        <f>AVERAGE(A83+FLOOR(A83/7,1)^2,A83+FLOOR(A83/5,1)^2)</f>
        <v/>
      </c>
      <c r="D83" s="37">
        <f>FLOOR(A83*0.8,1)</f>
        <v/>
      </c>
      <c r="E83" s="37">
        <f>A83+FLOOR($B$35/5,1)+FLOOR($B$35/5,1)+FLOOR($B$34/4,1)</f>
        <v/>
      </c>
      <c r="F83" s="37">
        <f>$B$34+A83</f>
        <v/>
      </c>
      <c r="G83" s="37">
        <f>A83+$B$34</f>
        <v/>
      </c>
      <c r="H83" s="37">
        <f>A83*0.3+1</f>
        <v/>
      </c>
      <c r="I83" s="37">
        <f>A83*1</f>
        <v/>
      </c>
      <c r="J83" s="37">
        <f>A83*1</f>
        <v/>
      </c>
      <c r="K83" s="37">
        <f>MIN(190,MAX(0,ROUND(200-($B$36-(ROUND($B$36*A83/25,0)+ROUND($B$36*$B$35/100,0))/10),0)))</f>
        <v/>
      </c>
      <c r="L83" s="37">
        <f>MIN(190,MAX(0,ROUND(200-($B$36-(ROUND($B$36*$B$35/25,0)+ROUND($B$36*A83/100,0))/10),0)))</f>
        <v/>
      </c>
    </row>
    <row r="84" ht="15" customHeight="1" s="26">
      <c r="A84" s="37">
        <f>A83+1</f>
        <v/>
      </c>
      <c r="B84" s="37">
        <f>A84+FLOOR(A84/10,1)^2+FLOOR($B$35/5,1)</f>
        <v/>
      </c>
      <c r="C84" s="37">
        <f>AVERAGE(A84+FLOOR(A84/7,1)^2,A84+FLOOR(A84/5,1)^2)</f>
        <v/>
      </c>
      <c r="D84" s="37">
        <f>FLOOR(A84*0.8,1)</f>
        <v/>
      </c>
      <c r="E84" s="37">
        <f>A84+FLOOR($B$35/5,1)+FLOOR($B$35/5,1)+FLOOR($B$34/4,1)</f>
        <v/>
      </c>
      <c r="F84" s="37">
        <f>$B$34+A84</f>
        <v/>
      </c>
      <c r="G84" s="37">
        <f>A84+$B$34</f>
        <v/>
      </c>
      <c r="H84" s="37">
        <f>A84*0.3+1</f>
        <v/>
      </c>
      <c r="I84" s="37">
        <f>A84*1</f>
        <v/>
      </c>
      <c r="J84" s="37">
        <f>A84*1</f>
        <v/>
      </c>
      <c r="K84" s="37">
        <f>MIN(190,MAX(0,ROUND(200-($B$36-(ROUND($B$36*A84/25,0)+ROUND($B$36*$B$35/100,0))/10),0)))</f>
        <v/>
      </c>
      <c r="L84" s="37">
        <f>MIN(190,MAX(0,ROUND(200-($B$36-(ROUND($B$36*$B$35/25,0)+ROUND($B$36*A84/100,0))/10),0)))</f>
        <v/>
      </c>
    </row>
    <row r="85" ht="15" customHeight="1" s="26">
      <c r="A85" s="37">
        <f>A84+1</f>
        <v/>
      </c>
      <c r="B85" s="37">
        <f>A85+FLOOR(A85/10,1)^2+FLOOR($B$35/5,1)</f>
        <v/>
      </c>
      <c r="C85" s="37">
        <f>AVERAGE(A85+FLOOR(A85/7,1)^2,A85+FLOOR(A85/5,1)^2)</f>
        <v/>
      </c>
      <c r="D85" s="37">
        <f>FLOOR(A85*0.8,1)</f>
        <v/>
      </c>
      <c r="E85" s="37">
        <f>A85+FLOOR($B$35/5,1)+FLOOR($B$35/5,1)+FLOOR($B$34/4,1)</f>
        <v/>
      </c>
      <c r="F85" s="37">
        <f>$B$34+A85</f>
        <v/>
      </c>
      <c r="G85" s="37">
        <f>A85+$B$34</f>
        <v/>
      </c>
      <c r="H85" s="37">
        <f>A85*0.3+1</f>
        <v/>
      </c>
      <c r="I85" s="37">
        <f>A85*1</f>
        <v/>
      </c>
      <c r="J85" s="37">
        <f>A85*1</f>
        <v/>
      </c>
      <c r="K85" s="37">
        <f>MIN(190,MAX(0,ROUND(200-($B$36-(ROUND($B$36*A85/25,0)+ROUND($B$36*$B$35/100,0))/10),0)))</f>
        <v/>
      </c>
      <c r="L85" s="37">
        <f>MIN(190,MAX(0,ROUND(200-($B$36-(ROUND($B$36*$B$35/25,0)+ROUND($B$36*A85/100,0))/10),0)))</f>
        <v/>
      </c>
    </row>
    <row r="86" ht="15" customHeight="1" s="26">
      <c r="A86" s="37">
        <f>A85+1</f>
        <v/>
      </c>
      <c r="B86" s="37">
        <f>A86+FLOOR(A86/10,1)^2+FLOOR($B$35/5,1)</f>
        <v/>
      </c>
      <c r="C86" s="37">
        <f>AVERAGE(A86+FLOOR(A86/7,1)^2,A86+FLOOR(A86/5,1)^2)</f>
        <v/>
      </c>
      <c r="D86" s="37">
        <f>FLOOR(A86*0.8,1)</f>
        <v/>
      </c>
      <c r="E86" s="37">
        <f>A86+FLOOR($B$35/5,1)+FLOOR($B$35/5,1)+FLOOR($B$34/4,1)</f>
        <v/>
      </c>
      <c r="F86" s="37">
        <f>$B$34+A86</f>
        <v/>
      </c>
      <c r="G86" s="37">
        <f>A86+$B$34</f>
        <v/>
      </c>
      <c r="H86" s="37">
        <f>A86*0.3+1</f>
        <v/>
      </c>
      <c r="I86" s="37">
        <f>A86*1</f>
        <v/>
      </c>
      <c r="J86" s="37">
        <f>A86*1</f>
        <v/>
      </c>
      <c r="K86" s="37">
        <f>MIN(190,MAX(0,ROUND(200-($B$36-(ROUND($B$36*A86/25,0)+ROUND($B$36*$B$35/100,0))/10),0)))</f>
        <v/>
      </c>
      <c r="L86" s="37">
        <f>MIN(190,MAX(0,ROUND(200-($B$36-(ROUND($B$36*$B$35/25,0)+ROUND($B$36*A86/100,0))/10),0)))</f>
        <v/>
      </c>
    </row>
    <row r="87" ht="15" customHeight="1" s="26">
      <c r="A87" s="37">
        <f>A86+1</f>
        <v/>
      </c>
      <c r="B87" s="37">
        <f>A87+FLOOR(A87/10,1)^2+FLOOR($B$35/5,1)</f>
        <v/>
      </c>
      <c r="C87" s="37">
        <f>AVERAGE(A87+FLOOR(A87/7,1)^2,A87+FLOOR(A87/5,1)^2)</f>
        <v/>
      </c>
      <c r="D87" s="37">
        <f>FLOOR(A87*0.8,1)</f>
        <v/>
      </c>
      <c r="E87" s="37">
        <f>A87+FLOOR($B$35/5,1)+FLOOR($B$35/5,1)+FLOOR($B$34/4,1)</f>
        <v/>
      </c>
      <c r="F87" s="37">
        <f>$B$34+A87</f>
        <v/>
      </c>
      <c r="G87" s="37">
        <f>A87+$B$34</f>
        <v/>
      </c>
      <c r="H87" s="37">
        <f>A87*0.3+1</f>
        <v/>
      </c>
      <c r="I87" s="37">
        <f>A87*1</f>
        <v/>
      </c>
      <c r="J87" s="37">
        <f>A87*1</f>
        <v/>
      </c>
      <c r="K87" s="37">
        <f>MIN(190,MAX(0,ROUND(200-($B$36-(ROUND($B$36*A87/25,0)+ROUND($B$36*$B$35/100,0))/10),0)))</f>
        <v/>
      </c>
      <c r="L87" s="37">
        <f>MIN(190,MAX(0,ROUND(200-($B$36-(ROUND($B$36*$B$35/25,0)+ROUND($B$36*A87/100,0))/10),0)))</f>
        <v/>
      </c>
    </row>
    <row r="88" ht="15" customHeight="1" s="26">
      <c r="A88" s="37">
        <f>A87+1</f>
        <v/>
      </c>
      <c r="B88" s="37">
        <f>A88+FLOOR(A88/10,1)^2+FLOOR($B$35/5,1)</f>
        <v/>
      </c>
      <c r="C88" s="37">
        <f>AVERAGE(A88+FLOOR(A88/7,1)^2,A88+FLOOR(A88/5,1)^2)</f>
        <v/>
      </c>
      <c r="D88" s="37">
        <f>FLOOR(A88*0.8,1)</f>
        <v/>
      </c>
      <c r="E88" s="37">
        <f>A88+FLOOR($B$35/5,1)+FLOOR($B$35/5,1)+FLOOR($B$34/4,1)</f>
        <v/>
      </c>
      <c r="F88" s="37">
        <f>$B$34+A88</f>
        <v/>
      </c>
      <c r="G88" s="37">
        <f>A88+$B$34</f>
        <v/>
      </c>
      <c r="H88" s="37">
        <f>A88*0.3+1</f>
        <v/>
      </c>
      <c r="I88" s="37">
        <f>A88*1</f>
        <v/>
      </c>
      <c r="J88" s="37">
        <f>A88*1</f>
        <v/>
      </c>
      <c r="K88" s="37">
        <f>MIN(190,MAX(0,ROUND(200-($B$36-(ROUND($B$36*A88/25,0)+ROUND($B$36*$B$35/100,0))/10),0)))</f>
        <v/>
      </c>
      <c r="L88" s="37">
        <f>MIN(190,MAX(0,ROUND(200-($B$36-(ROUND($B$36*$B$35/25,0)+ROUND($B$36*A88/100,0))/10),0)))</f>
        <v/>
      </c>
    </row>
    <row r="89" ht="15" customHeight="1" s="26">
      <c r="A89" s="37">
        <f>A88+1</f>
        <v/>
      </c>
      <c r="B89" s="37">
        <f>A89+FLOOR(A89/10,1)^2+FLOOR($B$35/5,1)</f>
        <v/>
      </c>
      <c r="C89" s="37">
        <f>AVERAGE(A89+FLOOR(A89/7,1)^2,A89+FLOOR(A89/5,1)^2)</f>
        <v/>
      </c>
      <c r="D89" s="37">
        <f>FLOOR(A89*0.8,1)</f>
        <v/>
      </c>
      <c r="E89" s="37">
        <f>A89+FLOOR($B$35/5,1)+FLOOR($B$35/5,1)+FLOOR($B$34/4,1)</f>
        <v/>
      </c>
      <c r="F89" s="37">
        <f>$B$34+A89</f>
        <v/>
      </c>
      <c r="G89" s="37">
        <f>A89+$B$34</f>
        <v/>
      </c>
      <c r="H89" s="37">
        <f>A89*0.3+1</f>
        <v/>
      </c>
      <c r="I89" s="37">
        <f>A89*1</f>
        <v/>
      </c>
      <c r="J89" s="37">
        <f>A89*1</f>
        <v/>
      </c>
      <c r="K89" s="37">
        <f>MIN(190,MAX(0,ROUND(200-($B$36-(ROUND($B$36*A89/25,0)+ROUND($B$36*$B$35/100,0))/10),0)))</f>
        <v/>
      </c>
      <c r="L89" s="37">
        <f>MIN(190,MAX(0,ROUND(200-($B$36-(ROUND($B$36*$B$35/25,0)+ROUND($B$36*A89/100,0))/10),0)))</f>
        <v/>
      </c>
    </row>
    <row r="90" ht="15" customHeight="1" s="26">
      <c r="A90" s="37">
        <f>A89+1</f>
        <v/>
      </c>
      <c r="B90" s="37">
        <f>A90+FLOOR(A90/10,1)^2+FLOOR($B$35/5,1)</f>
        <v/>
      </c>
      <c r="C90" s="37">
        <f>AVERAGE(A90+FLOOR(A90/7,1)^2,A90+FLOOR(A90/5,1)^2)</f>
        <v/>
      </c>
      <c r="D90" s="37">
        <f>FLOOR(A90*0.8,1)</f>
        <v/>
      </c>
      <c r="E90" s="37">
        <f>A90+FLOOR($B$35/5,1)+FLOOR($B$35/5,1)+FLOOR($B$34/4,1)</f>
        <v/>
      </c>
      <c r="F90" s="37">
        <f>$B$34+A90</f>
        <v/>
      </c>
      <c r="G90" s="37">
        <f>A90+$B$34</f>
        <v/>
      </c>
      <c r="H90" s="37">
        <f>A90*0.3+1</f>
        <v/>
      </c>
      <c r="I90" s="37">
        <f>A90*1</f>
        <v/>
      </c>
      <c r="J90" s="37">
        <f>A90*1</f>
        <v/>
      </c>
      <c r="K90" s="37">
        <f>MIN(190,MAX(0,ROUND(200-($B$36-(ROUND($B$36*A90/25,0)+ROUND($B$36*$B$35/100,0))/10),0)))</f>
        <v/>
      </c>
      <c r="L90" s="37">
        <f>MIN(190,MAX(0,ROUND(200-($B$36-(ROUND($B$36*$B$35/25,0)+ROUND($B$36*A90/100,0))/10),0)))</f>
        <v/>
      </c>
    </row>
    <row r="91" ht="15" customHeight="1" s="26">
      <c r="A91" s="37">
        <f>A90+1</f>
        <v/>
      </c>
      <c r="B91" s="37">
        <f>A91+FLOOR(A91/10,1)^2+FLOOR($B$35/5,1)</f>
        <v/>
      </c>
      <c r="C91" s="37">
        <f>AVERAGE(A91+FLOOR(A91/7,1)^2,A91+FLOOR(A91/5,1)^2)</f>
        <v/>
      </c>
      <c r="D91" s="37">
        <f>FLOOR(A91*0.8,1)</f>
        <v/>
      </c>
      <c r="E91" s="37">
        <f>A91+FLOOR($B$35/5,1)+FLOOR($B$35/5,1)+FLOOR($B$34/4,1)</f>
        <v/>
      </c>
      <c r="F91" s="37">
        <f>$B$34+A91</f>
        <v/>
      </c>
      <c r="G91" s="37">
        <f>A91+$B$34</f>
        <v/>
      </c>
      <c r="H91" s="37">
        <f>A91*0.3+1</f>
        <v/>
      </c>
      <c r="I91" s="37">
        <f>A91*1</f>
        <v/>
      </c>
      <c r="J91" s="37">
        <f>A91*1</f>
        <v/>
      </c>
      <c r="K91" s="37">
        <f>MIN(190,MAX(0,ROUND(200-($B$36-(ROUND($B$36*A91/25,0)+ROUND($B$36*$B$35/100,0))/10),0)))</f>
        <v/>
      </c>
      <c r="L91" s="37">
        <f>MIN(190,MAX(0,ROUND(200-($B$36-(ROUND($B$36*$B$35/25,0)+ROUND($B$36*A91/100,0))/10),0)))</f>
        <v/>
      </c>
    </row>
    <row r="92" ht="15" customHeight="1" s="26">
      <c r="A92" s="37">
        <f>A91+1</f>
        <v/>
      </c>
      <c r="B92" s="37">
        <f>A92+FLOOR(A92/10,1)^2+FLOOR($B$35/5,1)</f>
        <v/>
      </c>
      <c r="C92" s="37">
        <f>AVERAGE(A92+FLOOR(A92/7,1)^2,A92+FLOOR(A92/5,1)^2)</f>
        <v/>
      </c>
      <c r="D92" s="37">
        <f>FLOOR(A92*0.8,1)</f>
        <v/>
      </c>
      <c r="E92" s="37">
        <f>A92+FLOOR($B$35/5,1)+FLOOR($B$35/5,1)+FLOOR($B$34/4,1)</f>
        <v/>
      </c>
      <c r="F92" s="37">
        <f>$B$34+A92</f>
        <v/>
      </c>
      <c r="G92" s="37">
        <f>A92+$B$34</f>
        <v/>
      </c>
      <c r="H92" s="37">
        <f>A92*0.3+1</f>
        <v/>
      </c>
      <c r="I92" s="37">
        <f>A92*1</f>
        <v/>
      </c>
      <c r="J92" s="37">
        <f>A92*1</f>
        <v/>
      </c>
      <c r="K92" s="37">
        <f>MIN(190,MAX(0,ROUND(200-($B$36-(ROUND($B$36*A92/25,0)+ROUND($B$36*$B$35/100,0))/10),0)))</f>
        <v/>
      </c>
      <c r="L92" s="37">
        <f>MIN(190,MAX(0,ROUND(200-($B$36-(ROUND($B$36*$B$35/25,0)+ROUND($B$36*A92/100,0))/10),0)))</f>
        <v/>
      </c>
    </row>
    <row r="93" ht="15" customHeight="1" s="26">
      <c r="A93" s="37">
        <f>A92+1</f>
        <v/>
      </c>
      <c r="B93" s="37">
        <f>A93+FLOOR(A93/10,1)^2+FLOOR($B$35/5,1)</f>
        <v/>
      </c>
      <c r="C93" s="37">
        <f>AVERAGE(A93+FLOOR(A93/7,1)^2,A93+FLOOR(A93/5,1)^2)</f>
        <v/>
      </c>
      <c r="D93" s="37">
        <f>FLOOR(A93*0.8,1)</f>
        <v/>
      </c>
      <c r="E93" s="37">
        <f>A93+FLOOR($B$35/5,1)+FLOOR($B$35/5,1)+FLOOR($B$34/4,1)</f>
        <v/>
      </c>
      <c r="F93" s="37">
        <f>$B$34+A93</f>
        <v/>
      </c>
      <c r="G93" s="37">
        <f>A93+$B$34</f>
        <v/>
      </c>
      <c r="H93" s="37">
        <f>A93*0.3+1</f>
        <v/>
      </c>
      <c r="I93" s="37">
        <f>A93*1</f>
        <v/>
      </c>
      <c r="J93" s="37">
        <f>A93*1</f>
        <v/>
      </c>
      <c r="K93" s="37">
        <f>MIN(190,MAX(0,ROUND(200-($B$36-(ROUND($B$36*A93/25,0)+ROUND($B$36*$B$35/100,0))/10),0)))</f>
        <v/>
      </c>
      <c r="L93" s="37">
        <f>MIN(190,MAX(0,ROUND(200-($B$36-(ROUND($B$36*$B$35/25,0)+ROUND($B$36*A93/100,0))/10),0)))</f>
        <v/>
      </c>
    </row>
    <row r="94" ht="15" customHeight="1" s="26">
      <c r="A94" s="37">
        <f>A93+1</f>
        <v/>
      </c>
      <c r="B94" s="37">
        <f>A94+FLOOR(A94/10,1)^2+FLOOR($B$35/5,1)</f>
        <v/>
      </c>
      <c r="C94" s="37">
        <f>AVERAGE(A94+FLOOR(A94/7,1)^2,A94+FLOOR(A94/5,1)^2)</f>
        <v/>
      </c>
      <c r="D94" s="37">
        <f>FLOOR(A94*0.8,1)</f>
        <v/>
      </c>
      <c r="E94" s="37">
        <f>A94+FLOOR($B$35/5,1)+FLOOR($B$35/5,1)+FLOOR($B$34/4,1)</f>
        <v/>
      </c>
      <c r="F94" s="37">
        <f>$B$34+A94</f>
        <v/>
      </c>
      <c r="G94" s="37">
        <f>A94+$B$34</f>
        <v/>
      </c>
      <c r="H94" s="37">
        <f>A94*0.3+1</f>
        <v/>
      </c>
      <c r="I94" s="37">
        <f>A94*1</f>
        <v/>
      </c>
      <c r="J94" s="37">
        <f>A94*1</f>
        <v/>
      </c>
      <c r="K94" s="37">
        <f>MIN(190,MAX(0,ROUND(200-($B$36-(ROUND($B$36*A94/25,0)+ROUND($B$36*$B$35/100,0))/10),0)))</f>
        <v/>
      </c>
      <c r="L94" s="37">
        <f>MIN(190,MAX(0,ROUND(200-($B$36-(ROUND($B$36*$B$35/25,0)+ROUND($B$36*A94/100,0))/10),0)))</f>
        <v/>
      </c>
    </row>
    <row r="95" ht="15" customHeight="1" s="26">
      <c r="A95" s="37">
        <f>A94+1</f>
        <v/>
      </c>
      <c r="B95" s="37">
        <f>A95+FLOOR(A95/10,1)^2+FLOOR($B$35/5,1)</f>
        <v/>
      </c>
      <c r="C95" s="37">
        <f>AVERAGE(A95+FLOOR(A95/7,1)^2,A95+FLOOR(A95/5,1)^2)</f>
        <v/>
      </c>
      <c r="D95" s="37">
        <f>FLOOR(A95*0.8,1)</f>
        <v/>
      </c>
      <c r="E95" s="37">
        <f>A95+FLOOR($B$35/5,1)+FLOOR($B$35/5,1)+FLOOR($B$34/4,1)</f>
        <v/>
      </c>
      <c r="F95" s="37">
        <f>$B$34+A95</f>
        <v/>
      </c>
      <c r="G95" s="37">
        <f>A95+$B$34</f>
        <v/>
      </c>
      <c r="H95" s="37">
        <f>A95*0.3+1</f>
        <v/>
      </c>
      <c r="I95" s="37">
        <f>A95*1</f>
        <v/>
      </c>
      <c r="J95" s="37">
        <f>A95*1</f>
        <v/>
      </c>
      <c r="K95" s="37">
        <f>MIN(190,MAX(0,ROUND(200-($B$36-(ROUND($B$36*A95/25,0)+ROUND($B$36*$B$35/100,0))/10),0)))</f>
        <v/>
      </c>
      <c r="L95" s="37">
        <f>MIN(190,MAX(0,ROUND(200-($B$36-(ROUND($B$36*$B$35/25,0)+ROUND($B$36*A95/100,0))/10),0)))</f>
        <v/>
      </c>
    </row>
    <row r="96" ht="15" customHeight="1" s="26">
      <c r="A96" s="37">
        <f>A95+1</f>
        <v/>
      </c>
      <c r="B96" s="37">
        <f>A96+FLOOR(A96/10,1)^2+FLOOR($B$35/5,1)</f>
        <v/>
      </c>
      <c r="C96" s="37">
        <f>AVERAGE(A96+FLOOR(A96/7,1)^2,A96+FLOOR(A96/5,1)^2)</f>
        <v/>
      </c>
      <c r="D96" s="37">
        <f>FLOOR(A96*0.8,1)</f>
        <v/>
      </c>
      <c r="E96" s="37">
        <f>A96+FLOOR($B$35/5,1)+FLOOR($B$35/5,1)+FLOOR($B$34/4,1)</f>
        <v/>
      </c>
      <c r="F96" s="37">
        <f>$B$34+A96</f>
        <v/>
      </c>
      <c r="G96" s="37">
        <f>A96+$B$34</f>
        <v/>
      </c>
      <c r="H96" s="37">
        <f>A96*0.3+1</f>
        <v/>
      </c>
      <c r="I96" s="37">
        <f>A96*1</f>
        <v/>
      </c>
      <c r="J96" s="37">
        <f>A96*1</f>
        <v/>
      </c>
      <c r="K96" s="37">
        <f>MIN(190,MAX(0,ROUND(200-($B$36-(ROUND($B$36*A96/25,0)+ROUND($B$36*$B$35/100,0))/10),0)))</f>
        <v/>
      </c>
      <c r="L96" s="37">
        <f>MIN(190,MAX(0,ROUND(200-($B$36-(ROUND($B$36*$B$35/25,0)+ROUND($B$36*A96/100,0))/10),0)))</f>
        <v/>
      </c>
    </row>
    <row r="97" ht="15" customHeight="1" s="26">
      <c r="A97" s="37">
        <f>A96+1</f>
        <v/>
      </c>
      <c r="B97" s="37">
        <f>A97+FLOOR(A97/10,1)^2+FLOOR($B$35/5,1)</f>
        <v/>
      </c>
      <c r="C97" s="37">
        <f>AVERAGE(A97+FLOOR(A97/7,1)^2,A97+FLOOR(A97/5,1)^2)</f>
        <v/>
      </c>
      <c r="D97" s="37">
        <f>FLOOR(A97*0.8,1)</f>
        <v/>
      </c>
      <c r="E97" s="37">
        <f>A97+FLOOR($B$35/5,1)+FLOOR($B$35/5,1)+FLOOR($B$34/4,1)</f>
        <v/>
      </c>
      <c r="F97" s="37">
        <f>$B$34+A97</f>
        <v/>
      </c>
      <c r="G97" s="37">
        <f>A97+$B$34</f>
        <v/>
      </c>
      <c r="H97" s="37">
        <f>A97*0.3+1</f>
        <v/>
      </c>
      <c r="I97" s="37">
        <f>A97*1</f>
        <v/>
      </c>
      <c r="J97" s="37">
        <f>A97*1</f>
        <v/>
      </c>
      <c r="K97" s="37">
        <f>MIN(190,MAX(0,ROUND(200-($B$36-(ROUND($B$36*A97/25,0)+ROUND($B$36*$B$35/100,0))/10),0)))</f>
        <v/>
      </c>
      <c r="L97" s="37">
        <f>MIN(190,MAX(0,ROUND(200-($B$36-(ROUND($B$36*$B$35/25,0)+ROUND($B$36*A97/100,0))/10),0)))</f>
        <v/>
      </c>
    </row>
    <row r="98" ht="15" customHeight="1" s="26">
      <c r="A98" s="37">
        <f>A97+1</f>
        <v/>
      </c>
      <c r="B98" s="37">
        <f>A98+FLOOR(A98/10,1)^2+FLOOR($B$35/5,1)</f>
        <v/>
      </c>
      <c r="C98" s="37">
        <f>AVERAGE(A98+FLOOR(A98/7,1)^2,A98+FLOOR(A98/5,1)^2)</f>
        <v/>
      </c>
      <c r="D98" s="37">
        <f>FLOOR(A98*0.8,1)</f>
        <v/>
      </c>
      <c r="E98" s="37">
        <f>A98+FLOOR($B$35/5,1)+FLOOR($B$35/5,1)+FLOOR($B$34/4,1)</f>
        <v/>
      </c>
      <c r="F98" s="37">
        <f>$B$34+A98</f>
        <v/>
      </c>
      <c r="G98" s="37">
        <f>A98+$B$34</f>
        <v/>
      </c>
      <c r="H98" s="37">
        <f>A98*0.3+1</f>
        <v/>
      </c>
      <c r="I98" s="37">
        <f>A98*1</f>
        <v/>
      </c>
      <c r="J98" s="37">
        <f>A98*1</f>
        <v/>
      </c>
      <c r="K98" s="37">
        <f>MIN(190,MAX(0,ROUND(200-($B$36-(ROUND($B$36*A98/25,0)+ROUND($B$36*$B$35/100,0))/10),0)))</f>
        <v/>
      </c>
      <c r="L98" s="37">
        <f>MIN(190,MAX(0,ROUND(200-($B$36-(ROUND($B$36*$B$35/25,0)+ROUND($B$36*A98/100,0))/10),0)))</f>
        <v/>
      </c>
    </row>
    <row r="99" ht="15" customHeight="1" s="26">
      <c r="A99" s="37">
        <f>A98+1</f>
        <v/>
      </c>
      <c r="B99" s="37">
        <f>A99+FLOOR(A99/10,1)^2+FLOOR($B$35/5,1)</f>
        <v/>
      </c>
      <c r="C99" s="37">
        <f>AVERAGE(A99+FLOOR(A99/7,1)^2,A99+FLOOR(A99/5,1)^2)</f>
        <v/>
      </c>
      <c r="D99" s="37">
        <f>FLOOR(A99*0.8,1)</f>
        <v/>
      </c>
      <c r="E99" s="37">
        <f>A99+FLOOR($B$35/5,1)+FLOOR($B$35/5,1)+FLOOR($B$34/4,1)</f>
        <v/>
      </c>
      <c r="F99" s="37">
        <f>$B$34+A99</f>
        <v/>
      </c>
      <c r="G99" s="37">
        <f>A99+$B$34</f>
        <v/>
      </c>
      <c r="H99" s="37">
        <f>A99*0.3+1</f>
        <v/>
      </c>
      <c r="I99" s="37">
        <f>A99*1</f>
        <v/>
      </c>
      <c r="J99" s="37">
        <f>A99*1</f>
        <v/>
      </c>
      <c r="K99" s="37">
        <f>MIN(190,MAX(0,ROUND(200-($B$36-(ROUND($B$36*A99/25,0)+ROUND($B$36*$B$35/100,0))/10),0)))</f>
        <v/>
      </c>
      <c r="L99" s="37">
        <f>MIN(190,MAX(0,ROUND(200-($B$36-(ROUND($B$36*$B$35/25,0)+ROUND($B$36*A99/100,0))/10),0)))</f>
        <v/>
      </c>
    </row>
    <row r="100" ht="15" customHeight="1" s="26">
      <c r="A100" s="37">
        <f>A99+1</f>
        <v/>
      </c>
      <c r="B100" s="37">
        <f>A100+FLOOR(A100/10,1)^2+FLOOR($B$35/5,1)</f>
        <v/>
      </c>
      <c r="C100" s="37">
        <f>AVERAGE(A100+FLOOR(A100/7,1)^2,A100+FLOOR(A100/5,1)^2)</f>
        <v/>
      </c>
      <c r="D100" s="37">
        <f>FLOOR(A100*0.8,1)</f>
        <v/>
      </c>
      <c r="E100" s="37">
        <f>A100+FLOOR($B$35/5,1)+FLOOR($B$35/5,1)+FLOOR($B$34/4,1)</f>
        <v/>
      </c>
      <c r="F100" s="37">
        <f>$B$34+A100</f>
        <v/>
      </c>
      <c r="G100" s="37">
        <f>A100+$B$34</f>
        <v/>
      </c>
      <c r="H100" s="37">
        <f>A100*0.3+1</f>
        <v/>
      </c>
      <c r="I100" s="37">
        <f>A100*1</f>
        <v/>
      </c>
      <c r="J100" s="37">
        <f>A100*1</f>
        <v/>
      </c>
      <c r="K100" s="37">
        <f>MIN(190,MAX(0,ROUND(200-($B$36-(ROUND($B$36*A100/25,0)+ROUND($B$36*$B$35/100,0))/10),0)))</f>
        <v/>
      </c>
      <c r="L100" s="37">
        <f>MIN(190,MAX(0,ROUND(200-($B$36-(ROUND($B$36*$B$35/25,0)+ROUND($B$36*A100/100,0))/10),0)))</f>
        <v/>
      </c>
    </row>
    <row r="101" ht="15" customHeight="1" s="26">
      <c r="A101" s="37">
        <f>A100+1</f>
        <v/>
      </c>
      <c r="B101" s="37">
        <f>A101+FLOOR(A101/10,1)^2+FLOOR($B$35/5,1)</f>
        <v/>
      </c>
      <c r="C101" s="37">
        <f>AVERAGE(A101+FLOOR(A101/7,1)^2,A101+FLOOR(A101/5,1)^2)</f>
        <v/>
      </c>
      <c r="D101" s="37">
        <f>FLOOR(A101*0.8,1)</f>
        <v/>
      </c>
      <c r="E101" s="37">
        <f>A101+FLOOR($B$35/5,1)+FLOOR($B$35/5,1)+FLOOR($B$34/4,1)</f>
        <v/>
      </c>
      <c r="F101" s="37">
        <f>$B$34+A101</f>
        <v/>
      </c>
      <c r="G101" s="37">
        <f>A101+$B$34</f>
        <v/>
      </c>
      <c r="H101" s="37">
        <f>A101*0.3+1</f>
        <v/>
      </c>
      <c r="I101" s="37">
        <f>A101*1</f>
        <v/>
      </c>
      <c r="J101" s="37">
        <f>A101*1</f>
        <v/>
      </c>
      <c r="K101" s="37">
        <f>MIN(190,MAX(0,ROUND(200-($B$36-(ROUND($B$36*A101/25,0)+ROUND($B$36*$B$35/100,0))/10),0)))</f>
        <v/>
      </c>
      <c r="L101" s="37">
        <f>MIN(190,MAX(0,ROUND(200-($B$36-(ROUND($B$36*$B$35/25,0)+ROUND($B$36*A101/100,0))/10),0)))</f>
        <v/>
      </c>
    </row>
    <row r="102" ht="15" customHeight="1" s="26">
      <c r="A102" s="37">
        <f>A101+1</f>
        <v/>
      </c>
      <c r="B102" s="37">
        <f>A102+FLOOR(A102/10,1)^2+FLOOR($B$35/5,1)</f>
        <v/>
      </c>
      <c r="C102" s="37">
        <f>AVERAGE(A102+FLOOR(A102/7,1)^2,A102+FLOOR(A102/5,1)^2)</f>
        <v/>
      </c>
      <c r="D102" s="37">
        <f>FLOOR(A102*0.8,1)</f>
        <v/>
      </c>
      <c r="E102" s="37">
        <f>A102+FLOOR($B$35/5,1)+FLOOR($B$35/5,1)+FLOOR($B$34/4,1)</f>
        <v/>
      </c>
      <c r="F102" s="37">
        <f>$B$34+A102</f>
        <v/>
      </c>
      <c r="G102" s="37">
        <f>A102+$B$34</f>
        <v/>
      </c>
      <c r="H102" s="37">
        <f>A102*0.3+1</f>
        <v/>
      </c>
      <c r="I102" s="37">
        <f>A102*1</f>
        <v/>
      </c>
      <c r="J102" s="37">
        <f>A102*1</f>
        <v/>
      </c>
      <c r="K102" s="37">
        <f>MIN(190,MAX(0,ROUND(200-($B$36-(ROUND($B$36*A102/25,0)+ROUND($B$36*$B$35/100,0))/10),0)))</f>
        <v/>
      </c>
      <c r="L102" s="37">
        <f>MIN(190,MAX(0,ROUND(200-($B$36-(ROUND($B$36*$B$35/25,0)+ROUND($B$36*A102/100,0))/10),0)))</f>
        <v/>
      </c>
    </row>
    <row r="103" ht="15" customHeight="1" s="26">
      <c r="A103" s="37">
        <f>A102+1</f>
        <v/>
      </c>
      <c r="B103" s="37">
        <f>A103+FLOOR(A103/10,1)^2+FLOOR($B$35/5,1)</f>
        <v/>
      </c>
      <c r="C103" s="37">
        <f>AVERAGE(A103+FLOOR(A103/7,1)^2,A103+FLOOR(A103/5,1)^2)</f>
        <v/>
      </c>
      <c r="D103" s="37">
        <f>FLOOR(A103*0.8,1)</f>
        <v/>
      </c>
      <c r="E103" s="37">
        <f>A103+FLOOR($B$35/5,1)+FLOOR($B$35/5,1)+FLOOR($B$34/4,1)</f>
        <v/>
      </c>
      <c r="F103" s="37">
        <f>$B$34+A103</f>
        <v/>
      </c>
      <c r="G103" s="37">
        <f>A103+$B$34</f>
        <v/>
      </c>
      <c r="H103" s="37">
        <f>A103*0.3+1</f>
        <v/>
      </c>
      <c r="I103" s="37">
        <f>A103*1</f>
        <v/>
      </c>
      <c r="J103" s="37">
        <f>A103*1</f>
        <v/>
      </c>
      <c r="K103" s="37">
        <f>MIN(190,MAX(0,ROUND(200-($B$36-(ROUND($B$36*A103/25,0)+ROUND($B$36*$B$35/100,0))/10),0)))</f>
        <v/>
      </c>
      <c r="L103" s="37">
        <f>MIN(190,MAX(0,ROUND(200-($B$36-(ROUND($B$36*$B$35/25,0)+ROUND($B$36*A103/100,0))/10),0)))</f>
        <v/>
      </c>
    </row>
    <row r="104" ht="15" customHeight="1" s="26">
      <c r="A104" s="37">
        <f>A103+1</f>
        <v/>
      </c>
      <c r="B104" s="37">
        <f>A104+FLOOR(A104/10,1)^2+FLOOR($B$35/5,1)</f>
        <v/>
      </c>
      <c r="C104" s="37">
        <f>AVERAGE(A104+FLOOR(A104/7,1)^2,A104+FLOOR(A104/5,1)^2)</f>
        <v/>
      </c>
      <c r="D104" s="37">
        <f>FLOOR(A104*0.8,1)</f>
        <v/>
      </c>
      <c r="E104" s="37">
        <f>A104+FLOOR($B$35/5,1)+FLOOR($B$35/5,1)+FLOOR($B$34/4,1)</f>
        <v/>
      </c>
      <c r="F104" s="37">
        <f>$B$34+A104</f>
        <v/>
      </c>
      <c r="G104" s="37">
        <f>A104+$B$34</f>
        <v/>
      </c>
      <c r="H104" s="37">
        <f>A104*0.3+1</f>
        <v/>
      </c>
      <c r="I104" s="37">
        <f>A104*1</f>
        <v/>
      </c>
      <c r="J104" s="37">
        <f>A104*1</f>
        <v/>
      </c>
      <c r="K104" s="37">
        <f>MIN(190,MAX(0,ROUND(200-($B$36-(ROUND($B$36*A104/25,0)+ROUND($B$36*$B$35/100,0))/10),0)))</f>
        <v/>
      </c>
      <c r="L104" s="37">
        <f>MIN(190,MAX(0,ROUND(200-($B$36-(ROUND($B$36*$B$35/25,0)+ROUND($B$36*A104/100,0))/10),0)))</f>
        <v/>
      </c>
    </row>
    <row r="105" ht="15" customHeight="1" s="26">
      <c r="A105" s="37">
        <f>A104+1</f>
        <v/>
      </c>
      <c r="B105" s="37">
        <f>A105+FLOOR(A105/10,1)^2+FLOOR($B$35/5,1)</f>
        <v/>
      </c>
      <c r="C105" s="37">
        <f>AVERAGE(A105+FLOOR(A105/7,1)^2,A105+FLOOR(A105/5,1)^2)</f>
        <v/>
      </c>
      <c r="D105" s="37">
        <f>FLOOR(A105*0.8,1)</f>
        <v/>
      </c>
      <c r="E105" s="37">
        <f>A105+FLOOR($B$35/5,1)+FLOOR($B$35/5,1)+FLOOR($B$34/4,1)</f>
        <v/>
      </c>
      <c r="F105" s="37">
        <f>$B$34+A105</f>
        <v/>
      </c>
      <c r="G105" s="37">
        <f>A105+$B$34</f>
        <v/>
      </c>
      <c r="H105" s="37">
        <f>A105*0.3+1</f>
        <v/>
      </c>
      <c r="I105" s="37">
        <f>A105*1</f>
        <v/>
      </c>
      <c r="J105" s="37">
        <f>A105*1</f>
        <v/>
      </c>
      <c r="K105" s="37">
        <f>MIN(190,MAX(0,ROUND(200-($B$36-(ROUND($B$36*A105/25,0)+ROUND($B$36*$B$35/100,0))/10),0)))</f>
        <v/>
      </c>
      <c r="L105" s="37">
        <f>MIN(190,MAX(0,ROUND(200-($B$36-(ROUND($B$36*$B$35/25,0)+ROUND($B$36*A105/100,0))/10),0)))</f>
        <v/>
      </c>
    </row>
    <row r="106" ht="15" customHeight="1" s="26">
      <c r="A106" s="37">
        <f>A105+1</f>
        <v/>
      </c>
      <c r="B106" s="37">
        <f>A106+FLOOR(A106/10,1)^2+FLOOR($B$35/5,1)</f>
        <v/>
      </c>
      <c r="C106" s="37">
        <f>AVERAGE(A106+FLOOR(A106/7,1)^2,A106+FLOOR(A106/5,1)^2)</f>
        <v/>
      </c>
      <c r="D106" s="37">
        <f>FLOOR(A106*0.8,1)</f>
        <v/>
      </c>
      <c r="E106" s="37">
        <f>A106+FLOOR($B$35/5,1)+FLOOR($B$35/5,1)+FLOOR($B$34/4,1)</f>
        <v/>
      </c>
      <c r="F106" s="37">
        <f>$B$34+A106</f>
        <v/>
      </c>
      <c r="G106" s="37">
        <f>A106+$B$34</f>
        <v/>
      </c>
      <c r="H106" s="37">
        <f>A106*0.3+1</f>
        <v/>
      </c>
      <c r="I106" s="37">
        <f>A106*1</f>
        <v/>
      </c>
      <c r="J106" s="37">
        <f>A106*1</f>
        <v/>
      </c>
      <c r="K106" s="37">
        <f>MIN(190,MAX(0,ROUND(200-($B$36-(ROUND($B$36*A106/25,0)+ROUND($B$36*$B$35/100,0))/10),0)))</f>
        <v/>
      </c>
      <c r="L106" s="37">
        <f>MIN(190,MAX(0,ROUND(200-($B$36-(ROUND($B$36*$B$35/25,0)+ROUND($B$36*A106/100,0))/10),0)))</f>
        <v/>
      </c>
    </row>
    <row r="107" ht="15" customHeight="1" s="26">
      <c r="A107" s="37">
        <f>A106+1</f>
        <v/>
      </c>
      <c r="B107" s="37">
        <f>A107+FLOOR(A107/10,1)^2+FLOOR($B$35/5,1)</f>
        <v/>
      </c>
      <c r="C107" s="37">
        <f>AVERAGE(A107+FLOOR(A107/7,1)^2,A107+FLOOR(A107/5,1)^2)</f>
        <v/>
      </c>
      <c r="D107" s="37">
        <f>FLOOR(A107*0.8,1)</f>
        <v/>
      </c>
      <c r="E107" s="37">
        <f>A107+FLOOR($B$35/5,1)+FLOOR($B$35/5,1)+FLOOR($B$34/4,1)</f>
        <v/>
      </c>
      <c r="F107" s="37">
        <f>$B$34+A107</f>
        <v/>
      </c>
      <c r="G107" s="37">
        <f>A107+$B$34</f>
        <v/>
      </c>
      <c r="H107" s="37">
        <f>A107*0.3+1</f>
        <v/>
      </c>
      <c r="I107" s="37">
        <f>A107*1</f>
        <v/>
      </c>
      <c r="J107" s="37">
        <f>A107*1</f>
        <v/>
      </c>
      <c r="K107" s="37">
        <f>MIN(190,MAX(0,ROUND(200-($B$36-(ROUND($B$36*A107/25,0)+ROUND($B$36*$B$35/100,0))/10),0)))</f>
        <v/>
      </c>
      <c r="L107" s="37">
        <f>MIN(190,MAX(0,ROUND(200-($B$36-(ROUND($B$36*$B$35/25,0)+ROUND($B$36*A107/100,0))/10),0)))</f>
        <v/>
      </c>
    </row>
    <row r="108" ht="15" customHeight="1" s="26">
      <c r="A108" s="37">
        <f>A107+1</f>
        <v/>
      </c>
      <c r="B108" s="37">
        <f>A108+FLOOR(A108/10,1)^2+FLOOR($B$35/5,1)</f>
        <v/>
      </c>
      <c r="C108" s="37">
        <f>AVERAGE(A108+FLOOR(A108/7,1)^2,A108+FLOOR(A108/5,1)^2)</f>
        <v/>
      </c>
      <c r="D108" s="37">
        <f>FLOOR(A108*0.8,1)</f>
        <v/>
      </c>
      <c r="E108" s="37">
        <f>A108+FLOOR($B$35/5,1)+FLOOR($B$35/5,1)+FLOOR($B$34/4,1)</f>
        <v/>
      </c>
      <c r="F108" s="37">
        <f>$B$34+A108</f>
        <v/>
      </c>
      <c r="G108" s="37">
        <f>A108+$B$34</f>
        <v/>
      </c>
      <c r="H108" s="37">
        <f>A108*0.3+1</f>
        <v/>
      </c>
      <c r="I108" s="37">
        <f>A108*1</f>
        <v/>
      </c>
      <c r="J108" s="37">
        <f>A108*1</f>
        <v/>
      </c>
      <c r="K108" s="37">
        <f>MIN(190,MAX(0,ROUND(200-($B$36-(ROUND($B$36*A108/25,0)+ROUND($B$36*$B$35/100,0))/10),0)))</f>
        <v/>
      </c>
      <c r="L108" s="37">
        <f>MIN(190,MAX(0,ROUND(200-($B$36-(ROUND($B$36*$B$35/25,0)+ROUND($B$36*A108/100,0))/10),0)))</f>
        <v/>
      </c>
    </row>
    <row r="109" ht="15" customHeight="1" s="26">
      <c r="A109" s="37">
        <f>A108+1</f>
        <v/>
      </c>
      <c r="B109" s="37">
        <f>A109+FLOOR(A109/10,1)^2+FLOOR($B$35/5,1)</f>
        <v/>
      </c>
      <c r="C109" s="37">
        <f>AVERAGE(A109+FLOOR(A109/7,1)^2,A109+FLOOR(A109/5,1)^2)</f>
        <v/>
      </c>
      <c r="D109" s="37">
        <f>FLOOR(A109*0.8,1)</f>
        <v/>
      </c>
      <c r="E109" s="37">
        <f>A109+FLOOR($B$35/5,1)+FLOOR($B$35/5,1)+FLOOR($B$34/4,1)</f>
        <v/>
      </c>
      <c r="F109" s="37">
        <f>$B$34+A109</f>
        <v/>
      </c>
      <c r="G109" s="37">
        <f>A109+$B$34</f>
        <v/>
      </c>
      <c r="H109" s="37">
        <f>A109*0.3+1</f>
        <v/>
      </c>
      <c r="I109" s="37">
        <f>A109*1</f>
        <v/>
      </c>
      <c r="J109" s="37">
        <f>A109*1</f>
        <v/>
      </c>
      <c r="K109" s="37">
        <f>MIN(190,MAX(0,ROUND(200-($B$36-(ROUND($B$36*A109/25,0)+ROUND($B$36*$B$35/100,0))/10),0)))</f>
        <v/>
      </c>
      <c r="L109" s="37">
        <f>MIN(190,MAX(0,ROUND(200-($B$36-(ROUND($B$36*$B$35/25,0)+ROUND($B$36*A109/100,0))/10),0)))</f>
        <v/>
      </c>
    </row>
    <row r="110" ht="15" customHeight="1" s="26">
      <c r="A110" s="37">
        <f>A109+1</f>
        <v/>
      </c>
      <c r="B110" s="37">
        <f>A110+FLOOR(A110/10,1)^2+FLOOR($B$35/5,1)</f>
        <v/>
      </c>
      <c r="C110" s="37">
        <f>AVERAGE(A110+FLOOR(A110/7,1)^2,A110+FLOOR(A110/5,1)^2)</f>
        <v/>
      </c>
      <c r="D110" s="37">
        <f>FLOOR(A110*0.8,1)</f>
        <v/>
      </c>
      <c r="E110" s="37">
        <f>A110+FLOOR($B$35/5,1)+FLOOR($B$35/5,1)+FLOOR($B$34/4,1)</f>
        <v/>
      </c>
      <c r="F110" s="37">
        <f>$B$34+A110</f>
        <v/>
      </c>
      <c r="G110" s="37">
        <f>A110+$B$34</f>
        <v/>
      </c>
      <c r="H110" s="37">
        <f>A110*0.3+1</f>
        <v/>
      </c>
      <c r="I110" s="37">
        <f>A110*1</f>
        <v/>
      </c>
      <c r="J110" s="37">
        <f>A110*1</f>
        <v/>
      </c>
      <c r="K110" s="37">
        <f>MIN(190,MAX(0,ROUND(200-($B$36-(ROUND($B$36*A110/25,0)+ROUND($B$36*$B$35/100,0))/10),0)))</f>
        <v/>
      </c>
      <c r="L110" s="37">
        <f>MIN(190,MAX(0,ROUND(200-($B$36-(ROUND($B$36*$B$35/25,0)+ROUND($B$36*A110/100,0))/10),0)))</f>
        <v/>
      </c>
    </row>
    <row r="111" ht="15" customHeight="1" s="26">
      <c r="A111" s="37">
        <f>A110+1</f>
        <v/>
      </c>
      <c r="B111" s="37">
        <f>A111+FLOOR(A111/10,1)^2+FLOOR($B$35/5,1)</f>
        <v/>
      </c>
      <c r="C111" s="37">
        <f>AVERAGE(A111+FLOOR(A111/7,1)^2,A111+FLOOR(A111/5,1)^2)</f>
        <v/>
      </c>
      <c r="D111" s="37">
        <f>FLOOR(A111*0.8,1)</f>
        <v/>
      </c>
      <c r="E111" s="37">
        <f>A111+FLOOR($B$35/5,1)+FLOOR($B$35/5,1)+FLOOR($B$34/4,1)</f>
        <v/>
      </c>
      <c r="F111" s="37">
        <f>$B$34+A111</f>
        <v/>
      </c>
      <c r="G111" s="37">
        <f>A111+$B$34</f>
        <v/>
      </c>
      <c r="H111" s="37">
        <f>A111*0.3+1</f>
        <v/>
      </c>
      <c r="I111" s="37">
        <f>A111*1</f>
        <v/>
      </c>
      <c r="J111" s="37">
        <f>A111*1</f>
        <v/>
      </c>
      <c r="K111" s="37">
        <f>MIN(190,MAX(0,ROUND(200-($B$36-(ROUND($B$36*A111/25,0)+ROUND($B$36*$B$35/100,0))/10),0)))</f>
        <v/>
      </c>
      <c r="L111" s="37">
        <f>MIN(190,MAX(0,ROUND(200-($B$36-(ROUND($B$36*$B$35/25,0)+ROUND($B$36*A111/100,0))/10),0)))</f>
        <v/>
      </c>
    </row>
    <row r="112" ht="15" customHeight="1" s="26">
      <c r="A112" s="37">
        <f>A111+1</f>
        <v/>
      </c>
      <c r="B112" s="37">
        <f>A112+FLOOR(A112/10,1)^2+FLOOR($B$35/5,1)</f>
        <v/>
      </c>
      <c r="C112" s="37">
        <f>AVERAGE(A112+FLOOR(A112/7,1)^2,A112+FLOOR(A112/5,1)^2)</f>
        <v/>
      </c>
      <c r="D112" s="37">
        <f>FLOOR(A112*0.8,1)</f>
        <v/>
      </c>
      <c r="E112" s="37">
        <f>A112+FLOOR($B$35/5,1)+FLOOR($B$35/5,1)+FLOOR($B$34/4,1)</f>
        <v/>
      </c>
      <c r="F112" s="37">
        <f>$B$34+A112</f>
        <v/>
      </c>
      <c r="G112" s="37">
        <f>A112+$B$34</f>
        <v/>
      </c>
      <c r="H112" s="37">
        <f>A112*0.3+1</f>
        <v/>
      </c>
      <c r="I112" s="37">
        <f>A112*1</f>
        <v/>
      </c>
      <c r="J112" s="37">
        <f>A112*1</f>
        <v/>
      </c>
      <c r="K112" s="37">
        <f>MIN(190,MAX(0,ROUND(200-($B$36-(ROUND($B$36*A112/25,0)+ROUND($B$36*$B$35/100,0))/10),0)))</f>
        <v/>
      </c>
      <c r="L112" s="37">
        <f>MIN(190,MAX(0,ROUND(200-($B$36-(ROUND($B$36*$B$35/25,0)+ROUND($B$36*A112/100,0))/10),0)))</f>
        <v/>
      </c>
    </row>
    <row r="113" ht="15" customHeight="1" s="26">
      <c r="A113" s="37">
        <f>A112+1</f>
        <v/>
      </c>
      <c r="B113" s="37">
        <f>A113+FLOOR(A113/10,1)^2+FLOOR($B$35/5,1)</f>
        <v/>
      </c>
      <c r="C113" s="37">
        <f>AVERAGE(A113+FLOOR(A113/7,1)^2,A113+FLOOR(A113/5,1)^2)</f>
        <v/>
      </c>
      <c r="D113" s="37">
        <f>FLOOR(A113*0.8,1)</f>
        <v/>
      </c>
      <c r="E113" s="37">
        <f>A113+FLOOR($B$35/5,1)+FLOOR($B$35/5,1)+FLOOR($B$34/4,1)</f>
        <v/>
      </c>
      <c r="F113" s="37">
        <f>$B$34+A113</f>
        <v/>
      </c>
      <c r="G113" s="37">
        <f>A113+$B$34</f>
        <v/>
      </c>
      <c r="H113" s="37">
        <f>A113*0.3+1</f>
        <v/>
      </c>
      <c r="I113" s="37">
        <f>A113*1</f>
        <v/>
      </c>
      <c r="J113" s="37">
        <f>A113*1</f>
        <v/>
      </c>
      <c r="K113" s="37">
        <f>MIN(190,MAX(0,ROUND(200-($B$36-(ROUND($B$36*A113/25,0)+ROUND($B$36*$B$35/100,0))/10),0)))</f>
        <v/>
      </c>
      <c r="L113" s="37">
        <f>MIN(190,MAX(0,ROUND(200-($B$36-(ROUND($B$36*$B$35/25,0)+ROUND($B$36*A113/100,0))/10),0)))</f>
        <v/>
      </c>
    </row>
    <row r="114" ht="15" customHeight="1" s="26">
      <c r="A114" s="37">
        <f>A113+1</f>
        <v/>
      </c>
      <c r="B114" s="37">
        <f>A114+FLOOR(A114/10,1)^2+FLOOR($B$35/5,1)</f>
        <v/>
      </c>
      <c r="C114" s="37">
        <f>AVERAGE(A114+FLOOR(A114/7,1)^2,A114+FLOOR(A114/5,1)^2)</f>
        <v/>
      </c>
      <c r="D114" s="37">
        <f>FLOOR(A114*0.8,1)</f>
        <v/>
      </c>
      <c r="E114" s="37">
        <f>A114+FLOOR($B$35/5,1)+FLOOR($B$35/5,1)+FLOOR($B$34/4,1)</f>
        <v/>
      </c>
      <c r="F114" s="37">
        <f>$B$34+A114</f>
        <v/>
      </c>
      <c r="G114" s="37">
        <f>A114+$B$34</f>
        <v/>
      </c>
      <c r="H114" s="37">
        <f>A114*0.3+1</f>
        <v/>
      </c>
      <c r="I114" s="37">
        <f>A114*1</f>
        <v/>
      </c>
      <c r="J114" s="37">
        <f>A114*1</f>
        <v/>
      </c>
      <c r="K114" s="37">
        <f>MIN(190,MAX(0,ROUND(200-($B$36-(ROUND($B$36*A114/25,0)+ROUND($B$36*$B$35/100,0))/10),0)))</f>
        <v/>
      </c>
      <c r="L114" s="37">
        <f>MIN(190,MAX(0,ROUND(200-($B$36-(ROUND($B$36*$B$35/25,0)+ROUND($B$36*A114/100,0))/10),0)))</f>
        <v/>
      </c>
    </row>
    <row r="115" ht="15" customHeight="1" s="26">
      <c r="A115" s="37">
        <f>A114+1</f>
        <v/>
      </c>
      <c r="B115" s="37">
        <f>A115+FLOOR(A115/10,1)^2+FLOOR($B$35/5,1)</f>
        <v/>
      </c>
      <c r="C115" s="37">
        <f>AVERAGE(A115+FLOOR(A115/7,1)^2,A115+FLOOR(A115/5,1)^2)</f>
        <v/>
      </c>
      <c r="D115" s="37">
        <f>FLOOR(A115*0.8,1)</f>
        <v/>
      </c>
      <c r="E115" s="37">
        <f>A115+FLOOR($B$35/5,1)+FLOOR($B$35/5,1)+FLOOR($B$34/4,1)</f>
        <v/>
      </c>
      <c r="F115" s="37">
        <f>$B$34+A115</f>
        <v/>
      </c>
      <c r="G115" s="37">
        <f>A115+$B$34</f>
        <v/>
      </c>
      <c r="H115" s="37">
        <f>A115*0.3+1</f>
        <v/>
      </c>
      <c r="I115" s="37">
        <f>A115*1</f>
        <v/>
      </c>
      <c r="J115" s="37">
        <f>A115*1</f>
        <v/>
      </c>
      <c r="K115" s="37">
        <f>MIN(190,MAX(0,ROUND(200-($B$36-(ROUND($B$36*A115/25,0)+ROUND($B$36*$B$35/100,0))/10),0)))</f>
        <v/>
      </c>
      <c r="L115" s="37">
        <f>MIN(190,MAX(0,ROUND(200-($B$36-(ROUND($B$36*$B$35/25,0)+ROUND($B$36*A115/100,0))/10),0)))</f>
        <v/>
      </c>
    </row>
    <row r="116" ht="15" customHeight="1" s="26">
      <c r="A116" s="37">
        <f>A115+1</f>
        <v/>
      </c>
      <c r="B116" s="37">
        <f>A116+FLOOR(A116/10,1)^2+FLOOR($B$35/5,1)</f>
        <v/>
      </c>
      <c r="C116" s="37">
        <f>AVERAGE(A116+FLOOR(A116/7,1)^2,A116+FLOOR(A116/5,1)^2)</f>
        <v/>
      </c>
      <c r="D116" s="37">
        <f>FLOOR(A116*0.8,1)</f>
        <v/>
      </c>
      <c r="E116" s="37">
        <f>A116+FLOOR($B$35/5,1)+FLOOR($B$35/5,1)+FLOOR($B$34/4,1)</f>
        <v/>
      </c>
      <c r="F116" s="37">
        <f>$B$34+A116</f>
        <v/>
      </c>
      <c r="G116" s="37">
        <f>A116+$B$34</f>
        <v/>
      </c>
      <c r="H116" s="37">
        <f>A116*0.3+1</f>
        <v/>
      </c>
      <c r="I116" s="37">
        <f>A116*1</f>
        <v/>
      </c>
      <c r="J116" s="37">
        <f>A116*1</f>
        <v/>
      </c>
      <c r="K116" s="37">
        <f>MIN(190,MAX(0,ROUND(200-($B$36-(ROUND($B$36*A116/25,0)+ROUND($B$36*$B$35/100,0))/10),0)))</f>
        <v/>
      </c>
      <c r="L116" s="37">
        <f>MIN(190,MAX(0,ROUND(200-($B$36-(ROUND($B$36*$B$35/25,0)+ROUND($B$36*A116/100,0))/10),0)))</f>
        <v/>
      </c>
    </row>
    <row r="117" ht="15" customHeight="1" s="26">
      <c r="A117" s="37">
        <f>A116+1</f>
        <v/>
      </c>
      <c r="B117" s="37">
        <f>A117+FLOOR(A117/10,1)^2+FLOOR($B$35/5,1)</f>
        <v/>
      </c>
      <c r="C117" s="37">
        <f>AVERAGE(A117+FLOOR(A117/7,1)^2,A117+FLOOR(A117/5,1)^2)</f>
        <v/>
      </c>
      <c r="D117" s="37">
        <f>FLOOR(A117*0.8,1)</f>
        <v/>
      </c>
      <c r="E117" s="37">
        <f>A117+FLOOR($B$35/5,1)+FLOOR($B$35/5,1)+FLOOR($B$34/4,1)</f>
        <v/>
      </c>
      <c r="F117" s="37">
        <f>$B$34+A117</f>
        <v/>
      </c>
      <c r="G117" s="37">
        <f>A117+$B$34</f>
        <v/>
      </c>
      <c r="H117" s="37">
        <f>A117*0.3+1</f>
        <v/>
      </c>
      <c r="I117" s="37">
        <f>A117*1</f>
        <v/>
      </c>
      <c r="J117" s="37">
        <f>A117*1</f>
        <v/>
      </c>
      <c r="K117" s="37">
        <f>MIN(190,MAX(0,ROUND(200-($B$36-(ROUND($B$36*A117/25,0)+ROUND($B$36*$B$35/100,0))/10),0)))</f>
        <v/>
      </c>
      <c r="L117" s="37">
        <f>MIN(190,MAX(0,ROUND(200-($B$36-(ROUND($B$36*$B$35/25,0)+ROUND($B$36*A117/100,0))/10),0)))</f>
        <v/>
      </c>
    </row>
    <row r="118" ht="15" customHeight="1" s="26">
      <c r="A118" s="37">
        <f>A117+1</f>
        <v/>
      </c>
      <c r="B118" s="37">
        <f>A118+FLOOR(A118/10,1)^2+FLOOR($B$35/5,1)</f>
        <v/>
      </c>
      <c r="C118" s="37">
        <f>AVERAGE(A118+FLOOR(A118/7,1)^2,A118+FLOOR(A118/5,1)^2)</f>
        <v/>
      </c>
      <c r="D118" s="37">
        <f>FLOOR(A118*0.8,1)</f>
        <v/>
      </c>
      <c r="E118" s="37">
        <f>A118+FLOOR($B$35/5,1)+FLOOR($B$35/5,1)+FLOOR($B$34/4,1)</f>
        <v/>
      </c>
      <c r="F118" s="37">
        <f>$B$34+A118</f>
        <v/>
      </c>
      <c r="G118" s="37">
        <f>A118+$B$34</f>
        <v/>
      </c>
      <c r="H118" s="37">
        <f>A118*0.3+1</f>
        <v/>
      </c>
      <c r="I118" s="37">
        <f>A118*1</f>
        <v/>
      </c>
      <c r="J118" s="37">
        <f>A118*1</f>
        <v/>
      </c>
      <c r="K118" s="37">
        <f>MIN(190,MAX(0,ROUND(200-($B$36-(ROUND($B$36*A118/25,0)+ROUND($B$36*$B$35/100,0))/10),0)))</f>
        <v/>
      </c>
      <c r="L118" s="37">
        <f>MIN(190,MAX(0,ROUND(200-($B$36-(ROUND($B$36*$B$35/25,0)+ROUND($B$36*A118/100,0))/10),0)))</f>
        <v/>
      </c>
    </row>
    <row r="119" ht="15" customHeight="1" s="26">
      <c r="A119" s="37">
        <f>A118+1</f>
        <v/>
      </c>
      <c r="B119" s="37">
        <f>A119+FLOOR(A119/10,1)^2+FLOOR($B$35/5,1)</f>
        <v/>
      </c>
      <c r="C119" s="37">
        <f>AVERAGE(A119+FLOOR(A119/7,1)^2,A119+FLOOR(A119/5,1)^2)</f>
        <v/>
      </c>
      <c r="D119" s="37">
        <f>FLOOR(A119*0.8,1)</f>
        <v/>
      </c>
      <c r="E119" s="37">
        <f>A119+FLOOR($B$35/5,1)+FLOOR($B$35/5,1)+FLOOR($B$34/4,1)</f>
        <v/>
      </c>
      <c r="F119" s="37">
        <f>$B$34+A119</f>
        <v/>
      </c>
      <c r="G119" s="37">
        <f>A119+$B$34</f>
        <v/>
      </c>
      <c r="H119" s="37">
        <f>A119*0.3+1</f>
        <v/>
      </c>
      <c r="I119" s="37">
        <f>A119*1</f>
        <v/>
      </c>
      <c r="J119" s="37">
        <f>A119*1</f>
        <v/>
      </c>
      <c r="K119" s="37">
        <f>MIN(190,MAX(0,ROUND(200-($B$36-(ROUND($B$36*A119/25,0)+ROUND($B$36*$B$35/100,0))/10),0)))</f>
        <v/>
      </c>
      <c r="L119" s="37">
        <f>MIN(190,MAX(0,ROUND(200-($B$36-(ROUND($B$36*$B$35/25,0)+ROUND($B$36*A119/100,0))/10),0)))</f>
        <v/>
      </c>
    </row>
    <row r="120" ht="15" customHeight="1" s="26">
      <c r="A120" s="37">
        <f>A119+1</f>
        <v/>
      </c>
      <c r="B120" s="37">
        <f>A120+FLOOR(A120/10,1)^2+FLOOR($B$35/5,1)</f>
        <v/>
      </c>
      <c r="C120" s="37">
        <f>AVERAGE(A120+FLOOR(A120/7,1)^2,A120+FLOOR(A120/5,1)^2)</f>
        <v/>
      </c>
      <c r="D120" s="37">
        <f>FLOOR(A120*0.8,1)</f>
        <v/>
      </c>
      <c r="E120" s="37">
        <f>A120+FLOOR($B$35/5,1)+FLOOR($B$35/5,1)+FLOOR($B$34/4,1)</f>
        <v/>
      </c>
      <c r="F120" s="37">
        <f>$B$34+A120</f>
        <v/>
      </c>
      <c r="G120" s="37">
        <f>A120+$B$34</f>
        <v/>
      </c>
      <c r="H120" s="37">
        <f>A120*0.3+1</f>
        <v/>
      </c>
      <c r="I120" s="37">
        <f>A120*1</f>
        <v/>
      </c>
      <c r="J120" s="37">
        <f>A120*1</f>
        <v/>
      </c>
      <c r="K120" s="37">
        <f>MIN(190,MAX(0,ROUND(200-($B$36-(ROUND($B$36*A120/25,0)+ROUND($B$36*$B$35/100,0))/10),0)))</f>
        <v/>
      </c>
      <c r="L120" s="37">
        <f>MIN(190,MAX(0,ROUND(200-($B$36-(ROUND($B$36*$B$35/25,0)+ROUND($B$36*A120/100,0))/10),0)))</f>
        <v/>
      </c>
    </row>
    <row r="121" ht="15" customHeight="1" s="26">
      <c r="A121" s="37">
        <f>A120+1</f>
        <v/>
      </c>
      <c r="B121" s="37">
        <f>A121+FLOOR(A121/10,1)^2+FLOOR($B$35/5,1)</f>
        <v/>
      </c>
      <c r="C121" s="37">
        <f>AVERAGE(A121+FLOOR(A121/7,1)^2,A121+FLOOR(A121/5,1)^2)</f>
        <v/>
      </c>
      <c r="D121" s="37">
        <f>FLOOR(A121*0.8,1)</f>
        <v/>
      </c>
      <c r="E121" s="37">
        <f>A121+FLOOR($B$35/5,1)+FLOOR($B$35/5,1)+FLOOR($B$34/4,1)</f>
        <v/>
      </c>
      <c r="F121" s="37">
        <f>$B$34+A121</f>
        <v/>
      </c>
      <c r="G121" s="37">
        <f>A121+$B$34</f>
        <v/>
      </c>
      <c r="H121" s="37">
        <f>A121*0.3+1</f>
        <v/>
      </c>
      <c r="I121" s="37">
        <f>A121*1</f>
        <v/>
      </c>
      <c r="J121" s="37">
        <f>A121*1</f>
        <v/>
      </c>
      <c r="K121" s="37">
        <f>MIN(190,MAX(0,ROUND(200-($B$36-(ROUND($B$36*A121/25,0)+ROUND($B$36*$B$35/100,0))/10),0)))</f>
        <v/>
      </c>
      <c r="L121" s="37">
        <f>MIN(190,MAX(0,ROUND(200-($B$36-(ROUND($B$36*$B$35/25,0)+ROUND($B$36*A121/100,0))/10),0)))</f>
        <v/>
      </c>
    </row>
    <row r="122" ht="15" customHeight="1" s="26">
      <c r="A122" s="37">
        <f>A121+1</f>
        <v/>
      </c>
      <c r="B122" s="37">
        <f>A122+FLOOR(A122/10,1)^2+FLOOR($B$35/5,1)</f>
        <v/>
      </c>
      <c r="C122" s="37">
        <f>AVERAGE(A122+FLOOR(A122/7,1)^2,A122+FLOOR(A122/5,1)^2)</f>
        <v/>
      </c>
      <c r="D122" s="37">
        <f>FLOOR(A122*0.8,1)</f>
        <v/>
      </c>
      <c r="E122" s="37">
        <f>A122+FLOOR($B$35/5,1)+FLOOR($B$35/5,1)+FLOOR($B$34/4,1)</f>
        <v/>
      </c>
      <c r="F122" s="37">
        <f>$B$34+A122</f>
        <v/>
      </c>
      <c r="G122" s="37">
        <f>A122+$B$34</f>
        <v/>
      </c>
      <c r="H122" s="37">
        <f>A122*0.3+1</f>
        <v/>
      </c>
      <c r="I122" s="37">
        <f>A122*1</f>
        <v/>
      </c>
      <c r="J122" s="37">
        <f>A122*1</f>
        <v/>
      </c>
      <c r="K122" s="37">
        <f>MIN(190,MAX(0,ROUND(200-($B$36-(ROUND($B$36*A122/25,0)+ROUND($B$36*$B$35/100,0))/10),0)))</f>
        <v/>
      </c>
      <c r="L122" s="37">
        <f>MIN(190,MAX(0,ROUND(200-($B$36-(ROUND($B$36*$B$35/25,0)+ROUND($B$36*A122/100,0))/10),0)))</f>
        <v/>
      </c>
    </row>
    <row r="123" ht="15" customHeight="1" s="26">
      <c r="A123" s="37">
        <f>A122+1</f>
        <v/>
      </c>
      <c r="B123" s="37">
        <f>A123+FLOOR(A123/10,1)^2+FLOOR($B$35/5,1)</f>
        <v/>
      </c>
      <c r="C123" s="37">
        <f>AVERAGE(A123+FLOOR(A123/7,1)^2,A123+FLOOR(A123/5,1)^2)</f>
        <v/>
      </c>
      <c r="D123" s="37">
        <f>FLOOR(A123*0.8,1)</f>
        <v/>
      </c>
      <c r="E123" s="37">
        <f>A123+FLOOR($B$35/5,1)+FLOOR($B$35/5,1)+FLOOR($B$34/4,1)</f>
        <v/>
      </c>
      <c r="F123" s="37">
        <f>$B$34+A123</f>
        <v/>
      </c>
      <c r="G123" s="37">
        <f>A123+$B$34</f>
        <v/>
      </c>
      <c r="H123" s="37">
        <f>A123*0.3+1</f>
        <v/>
      </c>
      <c r="I123" s="37">
        <f>A123*1</f>
        <v/>
      </c>
      <c r="J123" s="37">
        <f>A123*1</f>
        <v/>
      </c>
      <c r="K123" s="37">
        <f>MIN(190,MAX(0,ROUND(200-($B$36-(ROUND($B$36*A123/25,0)+ROUND($B$36*$B$35/100,0))/10),0)))</f>
        <v/>
      </c>
      <c r="L123" s="37">
        <f>MIN(190,MAX(0,ROUND(200-($B$36-(ROUND($B$36*$B$35/25,0)+ROUND($B$36*A123/100,0))/10),0)))</f>
        <v/>
      </c>
    </row>
    <row r="124" ht="15" customHeight="1" s="26">
      <c r="A124" s="37">
        <f>A123+1</f>
        <v/>
      </c>
      <c r="B124" s="37">
        <f>A124+FLOOR(A124/10,1)^2+FLOOR($B$35/5,1)</f>
        <v/>
      </c>
      <c r="C124" s="37">
        <f>AVERAGE(A124+FLOOR(A124/7,1)^2,A124+FLOOR(A124/5,1)^2)</f>
        <v/>
      </c>
      <c r="D124" s="37">
        <f>FLOOR(A124*0.8,1)</f>
        <v/>
      </c>
      <c r="E124" s="37">
        <f>A124+FLOOR($B$35/5,1)+FLOOR($B$35/5,1)+FLOOR($B$34/4,1)</f>
        <v/>
      </c>
      <c r="F124" s="37">
        <f>$B$34+A124</f>
        <v/>
      </c>
      <c r="G124" s="37">
        <f>A124+$B$34</f>
        <v/>
      </c>
      <c r="H124" s="37">
        <f>A124*0.3+1</f>
        <v/>
      </c>
      <c r="I124" s="37">
        <f>A124*1</f>
        <v/>
      </c>
      <c r="J124" s="37">
        <f>A124*1</f>
        <v/>
      </c>
      <c r="K124" s="37">
        <f>MIN(190,MAX(0,ROUND(200-($B$36-(ROUND($B$36*A124/25,0)+ROUND($B$36*$B$35/100,0))/10),0)))</f>
        <v/>
      </c>
      <c r="L124" s="37">
        <f>MIN(190,MAX(0,ROUND(200-($B$36-(ROUND($B$36*$B$35/25,0)+ROUND($B$36*A124/100,0))/10),0)))</f>
        <v/>
      </c>
    </row>
    <row r="125" ht="15" customHeight="1" s="26">
      <c r="A125" s="37">
        <f>A124+1</f>
        <v/>
      </c>
      <c r="B125" s="37">
        <f>A125+FLOOR(A125/10,1)^2+FLOOR($B$35/5,1)</f>
        <v/>
      </c>
      <c r="C125" s="37">
        <f>AVERAGE(A125+FLOOR(A125/7,1)^2,A125+FLOOR(A125/5,1)^2)</f>
        <v/>
      </c>
      <c r="D125" s="37">
        <f>FLOOR(A125*0.8,1)</f>
        <v/>
      </c>
      <c r="E125" s="37">
        <f>A125+FLOOR($B$35/5,1)+FLOOR($B$35/5,1)+FLOOR($B$34/4,1)</f>
        <v/>
      </c>
      <c r="F125" s="37">
        <f>$B$34+A125</f>
        <v/>
      </c>
      <c r="G125" s="37">
        <f>A125+$B$34</f>
        <v/>
      </c>
      <c r="H125" s="37">
        <f>A125*0.3+1</f>
        <v/>
      </c>
      <c r="I125" s="37">
        <f>A125*1</f>
        <v/>
      </c>
      <c r="J125" s="37">
        <f>A125*1</f>
        <v/>
      </c>
      <c r="K125" s="37">
        <f>MIN(190,MAX(0,ROUND(200-($B$36-(ROUND($B$36*A125/25,0)+ROUND($B$36*$B$35/100,0))/10),0)))</f>
        <v/>
      </c>
      <c r="L125" s="37">
        <f>MIN(190,MAX(0,ROUND(200-($B$36-(ROUND($B$36*$B$35/25,0)+ROUND($B$36*A125/100,0))/10),0)))</f>
        <v/>
      </c>
    </row>
    <row r="126" ht="15" customHeight="1" s="26">
      <c r="A126" s="37">
        <f>A125+1</f>
        <v/>
      </c>
      <c r="B126" s="37">
        <f>A126+FLOOR(A126/10,1)^2+FLOOR($B$35/5,1)</f>
        <v/>
      </c>
      <c r="C126" s="37">
        <f>AVERAGE(A126+FLOOR(A126/7,1)^2,A126+FLOOR(A126/5,1)^2)</f>
        <v/>
      </c>
      <c r="D126" s="37">
        <f>FLOOR(A126*0.8,1)</f>
        <v/>
      </c>
      <c r="E126" s="37">
        <f>A126+FLOOR($B$35/5,1)+FLOOR($B$35/5,1)+FLOOR($B$34/4,1)</f>
        <v/>
      </c>
      <c r="F126" s="37">
        <f>$B$34+A126</f>
        <v/>
      </c>
      <c r="G126" s="37">
        <f>A126+$B$34</f>
        <v/>
      </c>
      <c r="H126" s="37">
        <f>A126*0.3+1</f>
        <v/>
      </c>
      <c r="I126" s="37">
        <f>A126*1</f>
        <v/>
      </c>
      <c r="J126" s="37">
        <f>A126*1</f>
        <v/>
      </c>
      <c r="K126" s="37">
        <f>MIN(190,MAX(0,ROUND(200-($B$36-(ROUND($B$36*A126/25,0)+ROUND($B$36*$B$35/100,0))/10),0)))</f>
        <v/>
      </c>
      <c r="L126" s="37">
        <f>MIN(190,MAX(0,ROUND(200-($B$36-(ROUND($B$36*$B$35/25,0)+ROUND($B$36*A126/100,0))/10),0)))</f>
        <v/>
      </c>
    </row>
    <row r="127" ht="15" customHeight="1" s="26">
      <c r="A127" s="37">
        <f>A126+1</f>
        <v/>
      </c>
      <c r="B127" s="37">
        <f>A127+FLOOR(A127/10,1)^2+FLOOR($B$35/5,1)</f>
        <v/>
      </c>
      <c r="C127" s="37">
        <f>AVERAGE(A127+FLOOR(A127/7,1)^2,A127+FLOOR(A127/5,1)^2)</f>
        <v/>
      </c>
      <c r="D127" s="37">
        <f>FLOOR(A127*0.8,1)</f>
        <v/>
      </c>
      <c r="E127" s="37">
        <f>A127+FLOOR($B$35/5,1)+FLOOR($B$35/5,1)+FLOOR($B$34/4,1)</f>
        <v/>
      </c>
      <c r="F127" s="37">
        <f>$B$34+A127</f>
        <v/>
      </c>
      <c r="G127" s="37">
        <f>A127+$B$34</f>
        <v/>
      </c>
      <c r="H127" s="37">
        <f>A127*0.3+1</f>
        <v/>
      </c>
      <c r="I127" s="37">
        <f>A127*1</f>
        <v/>
      </c>
      <c r="J127" s="37">
        <f>A127*1</f>
        <v/>
      </c>
      <c r="K127" s="37">
        <f>MIN(190,MAX(0,ROUND(200-($B$36-(ROUND($B$36*A127/25,0)+ROUND($B$36*$B$35/100,0))/10),0)))</f>
        <v/>
      </c>
      <c r="L127" s="37">
        <f>MIN(190,MAX(0,ROUND(200-($B$36-(ROUND($B$36*$B$35/25,0)+ROUND($B$36*A127/100,0))/10),0)))</f>
        <v/>
      </c>
    </row>
    <row r="128" ht="15" customHeight="1" s="26">
      <c r="A128" s="37">
        <f>A127+1</f>
        <v/>
      </c>
      <c r="B128" s="37">
        <f>A128+FLOOR(A128/10,1)^2+FLOOR($B$35/5,1)</f>
        <v/>
      </c>
      <c r="C128" s="37">
        <f>AVERAGE(A128+FLOOR(A128/7,1)^2,A128+FLOOR(A128/5,1)^2)</f>
        <v/>
      </c>
      <c r="D128" s="37">
        <f>FLOOR(A128*0.8,1)</f>
        <v/>
      </c>
      <c r="E128" s="37">
        <f>A128+FLOOR($B$35/5,1)+FLOOR($B$35/5,1)+FLOOR($B$34/4,1)</f>
        <v/>
      </c>
      <c r="F128" s="37">
        <f>$B$34+A128</f>
        <v/>
      </c>
      <c r="G128" s="37">
        <f>A128+$B$34</f>
        <v/>
      </c>
      <c r="H128" s="37">
        <f>A128*0.3+1</f>
        <v/>
      </c>
      <c r="I128" s="37">
        <f>A128*1</f>
        <v/>
      </c>
      <c r="J128" s="37">
        <f>A128*1</f>
        <v/>
      </c>
      <c r="K128" s="37">
        <f>MIN(190,MAX(0,ROUND(200-($B$36-(ROUND($B$36*A128/25,0)+ROUND($B$36*$B$35/100,0))/10),0)))</f>
        <v/>
      </c>
      <c r="L128" s="37">
        <f>MIN(190,MAX(0,ROUND(200-($B$36-(ROUND($B$36*$B$35/25,0)+ROUND($B$36*A128/100,0))/10),0)))</f>
        <v/>
      </c>
    </row>
    <row r="129" ht="15" customHeight="1" s="26">
      <c r="A129" s="37">
        <f>A128+1</f>
        <v/>
      </c>
      <c r="B129" s="37">
        <f>A129+FLOOR(A129/10,1)^2+FLOOR($B$35/5,1)</f>
        <v/>
      </c>
      <c r="C129" s="37">
        <f>AVERAGE(A129+FLOOR(A129/7,1)^2,A129+FLOOR(A129/5,1)^2)</f>
        <v/>
      </c>
      <c r="D129" s="37">
        <f>FLOOR(A129*0.8,1)</f>
        <v/>
      </c>
      <c r="E129" s="37">
        <f>A129+FLOOR($B$35/5,1)+FLOOR($B$35/5,1)+FLOOR($B$34/4,1)</f>
        <v/>
      </c>
      <c r="F129" s="37">
        <f>$B$34+A129</f>
        <v/>
      </c>
      <c r="G129" s="37">
        <f>A129+$B$34</f>
        <v/>
      </c>
      <c r="H129" s="37">
        <f>A129*0.3+1</f>
        <v/>
      </c>
      <c r="I129" s="37">
        <f>A129*1</f>
        <v/>
      </c>
      <c r="J129" s="37">
        <f>A129*1</f>
        <v/>
      </c>
      <c r="K129" s="37">
        <f>MIN(190,MAX(0,ROUND(200-($B$36-(ROUND($B$36*A129/25,0)+ROUND($B$36*$B$35/100,0))/10),0)))</f>
        <v/>
      </c>
      <c r="L129" s="37">
        <f>MIN(190,MAX(0,ROUND(200-($B$36-(ROUND($B$36*$B$35/25,0)+ROUND($B$36*A129/100,0))/10),0)))</f>
        <v/>
      </c>
    </row>
    <row r="130" ht="15" customHeight="1" s="26">
      <c r="A130" s="37">
        <f>A129+1</f>
        <v/>
      </c>
      <c r="B130" s="37">
        <f>A130+FLOOR(A130/10,1)^2+FLOOR($B$35/5,1)</f>
        <v/>
      </c>
      <c r="C130" s="37">
        <f>AVERAGE(A130+FLOOR(A130/7,1)^2,A130+FLOOR(A130/5,1)^2)</f>
        <v/>
      </c>
      <c r="D130" s="37">
        <f>FLOOR(A130*0.8,1)</f>
        <v/>
      </c>
      <c r="E130" s="37">
        <f>A130+FLOOR($B$35/5,1)+FLOOR($B$35/5,1)+FLOOR($B$34/4,1)</f>
        <v/>
      </c>
      <c r="F130" s="37">
        <f>$B$34+A130</f>
        <v/>
      </c>
      <c r="G130" s="37">
        <f>A130+$B$34</f>
        <v/>
      </c>
      <c r="H130" s="37">
        <f>A130*0.3+1</f>
        <v/>
      </c>
      <c r="I130" s="37">
        <f>A130*1</f>
        <v/>
      </c>
      <c r="J130" s="37">
        <f>A130*1</f>
        <v/>
      </c>
      <c r="K130" s="37">
        <f>MIN(190,MAX(0,ROUND(200-($B$36-(ROUND($B$36*A130/25,0)+ROUND($B$36*$B$35/100,0))/10),0)))</f>
        <v/>
      </c>
      <c r="L130" s="37">
        <f>MIN(190,MAX(0,ROUND(200-($B$36-(ROUND($B$36*$B$35/25,0)+ROUND($B$36*A130/100,0))/10),0)))</f>
        <v/>
      </c>
    </row>
    <row r="131" ht="15" customHeight="1" s="26">
      <c r="A131" s="37">
        <f>A130+1</f>
        <v/>
      </c>
      <c r="B131" s="37">
        <f>A131+FLOOR(A131/10,1)^2+FLOOR($B$35/5,1)</f>
        <v/>
      </c>
      <c r="C131" s="37">
        <f>AVERAGE(A131+FLOOR(A131/7,1)^2,A131+FLOOR(A131/5,1)^2)</f>
        <v/>
      </c>
      <c r="D131" s="37">
        <f>FLOOR(A131*0.8,1)</f>
        <v/>
      </c>
      <c r="E131" s="37">
        <f>A131+FLOOR($B$35/5,1)+FLOOR($B$35/5,1)+FLOOR($B$34/4,1)</f>
        <v/>
      </c>
      <c r="F131" s="37">
        <f>$B$34+A131</f>
        <v/>
      </c>
      <c r="G131" s="37">
        <f>A131+$B$34</f>
        <v/>
      </c>
      <c r="H131" s="37">
        <f>A131*0.3+1</f>
        <v/>
      </c>
      <c r="I131" s="37">
        <f>A131*1</f>
        <v/>
      </c>
      <c r="J131" s="37">
        <f>A131*1</f>
        <v/>
      </c>
      <c r="K131" s="37">
        <f>MIN(190,MAX(0,ROUND(200-($B$36-(ROUND($B$36*A131/25,0)+ROUND($B$36*$B$35/100,0))/10),0)))</f>
        <v/>
      </c>
      <c r="L131" s="37">
        <f>MIN(190,MAX(0,ROUND(200-($B$36-(ROUND($B$36*$B$35/25,0)+ROUND($B$36*A131/100,0))/10),0)))</f>
        <v/>
      </c>
    </row>
    <row r="132" ht="15" customHeight="1" s="26">
      <c r="A132" s="37">
        <f>A131+1</f>
        <v/>
      </c>
      <c r="B132" s="37">
        <f>A132+FLOOR(A132/10,1)^2+FLOOR($B$35/5,1)</f>
        <v/>
      </c>
      <c r="C132" s="37">
        <f>AVERAGE(A132+FLOOR(A132/7,1)^2,A132+FLOOR(A132/5,1)^2)</f>
        <v/>
      </c>
      <c r="D132" s="37">
        <f>FLOOR(A132*0.8,1)</f>
        <v/>
      </c>
      <c r="E132" s="37">
        <f>A132+FLOOR($B$35/5,1)+FLOOR($B$35/5,1)+FLOOR($B$34/4,1)</f>
        <v/>
      </c>
      <c r="F132" s="37">
        <f>$B$34+A132</f>
        <v/>
      </c>
      <c r="G132" s="37">
        <f>A132+$B$34</f>
        <v/>
      </c>
      <c r="H132" s="37">
        <f>A132*0.3+1</f>
        <v/>
      </c>
      <c r="I132" s="37">
        <f>A132*1</f>
        <v/>
      </c>
      <c r="J132" s="37">
        <f>A132*1</f>
        <v/>
      </c>
      <c r="K132" s="37">
        <f>MIN(190,MAX(0,ROUND(200-($B$36-(ROUND($B$36*A132/25,0)+ROUND($B$36*$B$35/100,0))/10),0)))</f>
        <v/>
      </c>
      <c r="L132" s="37">
        <f>MIN(190,MAX(0,ROUND(200-($B$36-(ROUND($B$36*$B$35/25,0)+ROUND($B$36*A132/100,0))/10),0)))</f>
        <v/>
      </c>
    </row>
    <row r="133" ht="15" customHeight="1" s="26">
      <c r="A133" s="37">
        <f>A132+1</f>
        <v/>
      </c>
      <c r="B133" s="37">
        <f>A133+FLOOR(A133/10,1)^2+FLOOR($B$35/5,1)</f>
        <v/>
      </c>
      <c r="C133" s="37">
        <f>AVERAGE(A133+FLOOR(A133/7,1)^2,A133+FLOOR(A133/5,1)^2)</f>
        <v/>
      </c>
      <c r="D133" s="37">
        <f>FLOOR(A133*0.8,1)</f>
        <v/>
      </c>
      <c r="E133" s="37">
        <f>A133+FLOOR($B$35/5,1)+FLOOR($B$35/5,1)+FLOOR($B$34/4,1)</f>
        <v/>
      </c>
      <c r="F133" s="37">
        <f>$B$34+A133</f>
        <v/>
      </c>
      <c r="G133" s="37">
        <f>A133+$B$34</f>
        <v/>
      </c>
      <c r="H133" s="37">
        <f>A133*0.3+1</f>
        <v/>
      </c>
      <c r="I133" s="37">
        <f>A133*1</f>
        <v/>
      </c>
      <c r="J133" s="37">
        <f>A133*1</f>
        <v/>
      </c>
      <c r="K133" s="37">
        <f>MIN(190,MAX(0,ROUND(200-($B$36-(ROUND($B$36*A133/25,0)+ROUND($B$36*$B$35/100,0))/10),0)))</f>
        <v/>
      </c>
      <c r="L133" s="37">
        <f>MIN(190,MAX(0,ROUND(200-($B$36-(ROUND($B$36*$B$35/25,0)+ROUND($B$36*A133/100,0))/10),0)))</f>
        <v/>
      </c>
    </row>
    <row r="134" ht="15" customHeight="1" s="26">
      <c r="A134" s="37">
        <f>A133+1</f>
        <v/>
      </c>
      <c r="B134" s="37">
        <f>A134+FLOOR(A134/10,1)^2+FLOOR($B$35/5,1)</f>
        <v/>
      </c>
      <c r="C134" s="37">
        <f>AVERAGE(A134+FLOOR(A134/7,1)^2,A134+FLOOR(A134/5,1)^2)</f>
        <v/>
      </c>
      <c r="D134" s="37">
        <f>FLOOR(A134*0.8,1)</f>
        <v/>
      </c>
      <c r="E134" s="37">
        <f>A134+FLOOR($B$35/5,1)+FLOOR($B$35/5,1)+FLOOR($B$34/4,1)</f>
        <v/>
      </c>
      <c r="F134" s="37">
        <f>$B$34+A134</f>
        <v/>
      </c>
      <c r="G134" s="37">
        <f>A134+$B$34</f>
        <v/>
      </c>
      <c r="H134" s="37">
        <f>A134*0.3+1</f>
        <v/>
      </c>
      <c r="I134" s="37">
        <f>A134*1</f>
        <v/>
      </c>
      <c r="J134" s="37">
        <f>A134*1</f>
        <v/>
      </c>
      <c r="K134" s="37">
        <f>MIN(190,MAX(0,ROUND(200-($B$36-(ROUND($B$36*A134/25,0)+ROUND($B$36*$B$35/100,0))/10),0)))</f>
        <v/>
      </c>
      <c r="L134" s="37">
        <f>MIN(190,MAX(0,ROUND(200-($B$36-(ROUND($B$36*$B$35/25,0)+ROUND($B$36*A134/100,0))/10),0)))</f>
        <v/>
      </c>
    </row>
    <row r="135" ht="15" customHeight="1" s="26">
      <c r="A135" s="37">
        <f>A134+1</f>
        <v/>
      </c>
      <c r="B135" s="37">
        <f>A135+FLOOR(A135/10,1)^2+FLOOR($B$35/5,1)</f>
        <v/>
      </c>
      <c r="C135" s="37">
        <f>AVERAGE(A135+FLOOR(A135/7,1)^2,A135+FLOOR(A135/5,1)^2)</f>
        <v/>
      </c>
      <c r="D135" s="37">
        <f>FLOOR(A135*0.8,1)</f>
        <v/>
      </c>
      <c r="E135" s="37">
        <f>A135+FLOOR($B$35/5,1)+FLOOR($B$35/5,1)+FLOOR($B$34/4,1)</f>
        <v/>
      </c>
      <c r="F135" s="37">
        <f>$B$34+A135</f>
        <v/>
      </c>
      <c r="G135" s="37">
        <f>A135+$B$34</f>
        <v/>
      </c>
      <c r="H135" s="37">
        <f>A135*0.3+1</f>
        <v/>
      </c>
      <c r="I135" s="37">
        <f>A135*1</f>
        <v/>
      </c>
      <c r="J135" s="37">
        <f>A135*1</f>
        <v/>
      </c>
      <c r="K135" s="37">
        <f>MIN(190,MAX(0,ROUND(200-($B$36-(ROUND($B$36*A135/25,0)+ROUND($B$36*$B$35/100,0))/10),0)))</f>
        <v/>
      </c>
      <c r="L135" s="37">
        <f>MIN(190,MAX(0,ROUND(200-($B$36-(ROUND($B$36*$B$35/25,0)+ROUND($B$36*A135/100,0))/10),0)))</f>
        <v/>
      </c>
    </row>
    <row r="136" ht="15" customHeight="1" s="26">
      <c r="A136" s="37">
        <f>A135+1</f>
        <v/>
      </c>
      <c r="B136" s="37">
        <f>A136+FLOOR(A136/10,1)^2+FLOOR($B$35/5,1)</f>
        <v/>
      </c>
      <c r="C136" s="37">
        <f>AVERAGE(A136+FLOOR(A136/7,1)^2,A136+FLOOR(A136/5,1)^2)</f>
        <v/>
      </c>
      <c r="D136" s="37">
        <f>FLOOR(A136*0.8,1)</f>
        <v/>
      </c>
      <c r="E136" s="37">
        <f>A136+FLOOR($B$35/5,1)+FLOOR($B$35/5,1)+FLOOR($B$34/4,1)</f>
        <v/>
      </c>
      <c r="F136" s="37">
        <f>$B$34+A136</f>
        <v/>
      </c>
      <c r="G136" s="37">
        <f>A136+$B$34</f>
        <v/>
      </c>
      <c r="H136" s="37">
        <f>A136*0.3+1</f>
        <v/>
      </c>
      <c r="I136" s="37">
        <f>A136*1</f>
        <v/>
      </c>
      <c r="J136" s="37">
        <f>A136*1</f>
        <v/>
      </c>
      <c r="K136" s="37">
        <f>MIN(190,MAX(0,ROUND(200-($B$36-(ROUND($B$36*A136/25,0)+ROUND($B$36*$B$35/100,0))/10),0)))</f>
        <v/>
      </c>
      <c r="L136" s="37">
        <f>MIN(190,MAX(0,ROUND(200-($B$36-(ROUND($B$36*$B$35/25,0)+ROUND($B$36*A136/100,0))/10),0)))</f>
        <v/>
      </c>
    </row>
    <row r="137" ht="15" customHeight="1" s="26">
      <c r="A137" s="37">
        <f>A136+1</f>
        <v/>
      </c>
      <c r="B137" s="37">
        <f>A137+FLOOR(A137/10,1)^2+FLOOR($B$35/5,1)</f>
        <v/>
      </c>
      <c r="C137" s="37">
        <f>AVERAGE(A137+FLOOR(A137/7,1)^2,A137+FLOOR(A137/5,1)^2)</f>
        <v/>
      </c>
      <c r="D137" s="37">
        <f>FLOOR(A137*0.8,1)</f>
        <v/>
      </c>
      <c r="E137" s="37">
        <f>A137+FLOOR($B$35/5,1)+FLOOR($B$35/5,1)+FLOOR($B$34/4,1)</f>
        <v/>
      </c>
      <c r="F137" s="37">
        <f>$B$34+A137</f>
        <v/>
      </c>
      <c r="G137" s="37">
        <f>A137+$B$34</f>
        <v/>
      </c>
      <c r="H137" s="37">
        <f>A137*0.3+1</f>
        <v/>
      </c>
      <c r="I137" s="37">
        <f>A137*1</f>
        <v/>
      </c>
      <c r="J137" s="37">
        <f>A137*1</f>
        <v/>
      </c>
      <c r="K137" s="37">
        <f>MIN(190,MAX(0,ROUND(200-($B$36-(ROUND($B$36*A137/25,0)+ROUND($B$36*$B$35/100,0))/10),0)))</f>
        <v/>
      </c>
      <c r="L137" s="37">
        <f>MIN(190,MAX(0,ROUND(200-($B$36-(ROUND($B$36*$B$35/25,0)+ROUND($B$36*A137/100,0))/10),0)))</f>
        <v/>
      </c>
    </row>
    <row r="139" ht="15" customHeight="1" s="26">
      <c r="A139" s="31" t="inlineStr">
        <is>
          <t>Hit Chance (accuracy roll) vs Hit − Flee difference</t>
        </is>
      </c>
    </row>
    <row r="140" ht="15" customHeight="1" s="26">
      <c r="A140" s="46" t="inlineStr">
        <is>
          <t>Different X-axis (not a raw stat, but the gap between attacker Hit and target Flee) — shown separately to make the [5%, 95%] clamp visible.</t>
        </is>
      </c>
    </row>
    <row r="141" ht="15" customHeight="1" s="26">
      <c r="A141" s="45" t="inlineStr">
        <is>
          <t>Hit − Flee (Difference)</t>
        </is>
      </c>
      <c r="B141" s="45" t="inlineStr">
        <is>
          <t>Hit Chance %</t>
        </is>
      </c>
    </row>
    <row r="142" ht="15" customHeight="1" s="26">
      <c r="A142" s="37" t="n">
        <v>-100</v>
      </c>
      <c r="B142" s="37">
        <f>MIN(95,MAX(5,100+A142))</f>
        <v/>
      </c>
    </row>
    <row r="143" ht="15" customHeight="1" s="26">
      <c r="A143" s="37">
        <f>A142+10</f>
        <v/>
      </c>
      <c r="B143" s="37">
        <f>MIN(95,MAX(5,100+A143))</f>
        <v/>
      </c>
    </row>
    <row r="144" ht="15" customHeight="1" s="26">
      <c r="A144" s="37">
        <f>A143+10</f>
        <v/>
      </c>
      <c r="B144" s="37">
        <f>MIN(95,MAX(5,100+A144))</f>
        <v/>
      </c>
    </row>
    <row r="145" ht="15" customHeight="1" s="26">
      <c r="A145" s="37">
        <f>A144+10</f>
        <v/>
      </c>
      <c r="B145" s="37">
        <f>MIN(95,MAX(5,100+A145))</f>
        <v/>
      </c>
    </row>
    <row r="146" ht="15" customHeight="1" s="26">
      <c r="A146" s="37">
        <f>A145+10</f>
        <v/>
      </c>
      <c r="B146" s="37">
        <f>MIN(95,MAX(5,100+A146))</f>
        <v/>
      </c>
    </row>
    <row r="147" ht="15" customHeight="1" s="26">
      <c r="A147" s="37">
        <f>A146+10</f>
        <v/>
      </c>
      <c r="B147" s="37">
        <f>MIN(95,MAX(5,100+A147))</f>
        <v/>
      </c>
    </row>
    <row r="148" ht="15" customHeight="1" s="26">
      <c r="A148" s="37">
        <f>A147+10</f>
        <v/>
      </c>
      <c r="B148" s="37">
        <f>MIN(95,MAX(5,100+A148))</f>
        <v/>
      </c>
    </row>
    <row r="149" ht="15" customHeight="1" s="26">
      <c r="A149" s="37">
        <f>A148+10</f>
        <v/>
      </c>
      <c r="B149" s="37">
        <f>MIN(95,MAX(5,100+A149))</f>
        <v/>
      </c>
    </row>
    <row r="150" ht="15" customHeight="1" s="26">
      <c r="A150" s="37">
        <f>A149+10</f>
        <v/>
      </c>
      <c r="B150" s="37">
        <f>MIN(95,MAX(5,100+A150))</f>
        <v/>
      </c>
    </row>
    <row r="151" ht="15" customHeight="1" s="26">
      <c r="A151" s="37">
        <f>A150+10</f>
        <v/>
      </c>
      <c r="B151" s="37">
        <f>MIN(95,MAX(5,100+A151))</f>
        <v/>
      </c>
    </row>
    <row r="152" ht="15" customHeight="1" s="26">
      <c r="A152" s="37">
        <f>A151+10</f>
        <v/>
      </c>
      <c r="B152" s="37">
        <f>MIN(95,MAX(5,100+A152))</f>
        <v/>
      </c>
    </row>
    <row r="153" ht="15" customHeight="1" s="26">
      <c r="A153" s="37">
        <f>A152+10</f>
        <v/>
      </c>
      <c r="B153" s="37">
        <f>MIN(95,MAX(5,100+A153))</f>
        <v/>
      </c>
    </row>
    <row r="154" ht="15" customHeight="1" s="26">
      <c r="A154" s="37">
        <f>A153+10</f>
        <v/>
      </c>
      <c r="B154" s="37">
        <f>MIN(95,MAX(5,100+A154))</f>
        <v/>
      </c>
    </row>
    <row r="155" ht="15" customHeight="1" s="26">
      <c r="A155" s="37">
        <f>A154+10</f>
        <v/>
      </c>
      <c r="B155" s="37">
        <f>MIN(95,MAX(5,100+A155))</f>
        <v/>
      </c>
    </row>
    <row r="156" ht="15" customHeight="1" s="26">
      <c r="A156" s="37">
        <f>A155+10</f>
        <v/>
      </c>
      <c r="B156" s="37">
        <f>MIN(95,MAX(5,100+A156))</f>
        <v/>
      </c>
    </row>
    <row r="157" ht="15" customHeight="1" s="26">
      <c r="A157" s="37">
        <f>A156+10</f>
        <v/>
      </c>
      <c r="B157" s="37">
        <f>MIN(95,MAX(5,100+A157))</f>
        <v/>
      </c>
    </row>
    <row r="158" ht="15" customHeight="1" s="26">
      <c r="A158" s="37">
        <f>A157+10</f>
        <v/>
      </c>
      <c r="B158" s="37">
        <f>MIN(95,MAX(5,100+A158))</f>
        <v/>
      </c>
    </row>
    <row r="159" ht="15" customHeight="1" s="26">
      <c r="A159" s="37">
        <f>A158+10</f>
        <v/>
      </c>
      <c r="B159" s="37">
        <f>MIN(95,MAX(5,100+A159))</f>
        <v/>
      </c>
    </row>
    <row r="160" ht="15" customHeight="1" s="26">
      <c r="A160" s="37">
        <f>A159+10</f>
        <v/>
      </c>
      <c r="B160" s="37">
        <f>MIN(95,MAX(5,100+A160))</f>
        <v/>
      </c>
    </row>
    <row r="161" ht="15" customHeight="1" s="26">
      <c r="A161" s="37">
        <f>A160+10</f>
        <v/>
      </c>
      <c r="B161" s="37">
        <f>MIN(95,MAX(5,100+A161))</f>
        <v/>
      </c>
    </row>
    <row r="162" ht="15" customHeight="1" s="26">
      <c r="A162" s="37">
        <f>A161+10</f>
        <v/>
      </c>
      <c r="B162" s="37">
        <f>MIN(95,MAX(5,100+A162))</f>
        <v/>
      </c>
    </row>
  </sheetData>
  <mergeCells count="4">
    <mergeCell ref="A18:C18"/>
    <mergeCell ref="A27:C27"/>
    <mergeCell ref="A31:L31"/>
    <mergeCell ref="A140:F1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5" min="1" max="1"/>
    <col width="60" customWidth="1" style="25" min="2" max="2"/>
    <col width="40" customWidth="1" style="25" min="3" max="3"/>
  </cols>
  <sheetData>
    <row r="1" ht="19.5" customHeight="1" s="26">
      <c r="A1" s="27" t="inlineStr">
        <is>
          <t>Quasi-Stats</t>
        </is>
      </c>
    </row>
    <row r="2" ht="15" customHeight="1" s="26">
      <c r="A2" s="28" t="inlineStr">
        <is>
          <t>Values not shown directly in a stat panel, but that still measurably affect gameplay. Reference: iRO Wiki — Stats, consulted July 2026.</t>
        </is>
      </c>
    </row>
    <row r="4" ht="15" customHeight="1" s="26">
      <c r="A4" s="29" t="inlineStr">
        <is>
          <t>Quasi-Stat</t>
        </is>
      </c>
      <c r="B4" s="29" t="inlineStr">
        <is>
          <t>Description</t>
        </is>
      </c>
      <c r="C4" s="29" t="inlineStr">
        <is>
          <t>Status</t>
        </is>
      </c>
    </row>
    <row r="5" ht="15" customHeight="1" s="26">
      <c r="A5" s="30" t="inlineStr">
        <is>
          <t>Attack Range</t>
        </is>
      </c>
      <c r="B5" s="30" t="inlineStr">
        <is>
          <t>Maximum distance an attack or skill can be used from.</t>
        </is>
      </c>
      <c r="C5" s="30" t="inlineStr">
        <is>
          <t>Partially covered by existing attack/aggro ranges</t>
        </is>
      </c>
    </row>
    <row r="6" ht="23.25" customHeight="1" s="26">
      <c r="A6" s="30" t="inlineStr">
        <is>
          <t>Cast Time</t>
        </is>
      </c>
      <c r="B6" s="30" t="inlineStr">
        <is>
          <t>Time to channel a skill before it fires; reduced by DEX and (at half rate) INT.</t>
        </is>
      </c>
      <c r="C6" s="30" t="inlineStr">
        <is>
          <t>Planned — blocked on skill system</t>
        </is>
      </c>
    </row>
    <row r="7" ht="15" customHeight="1" s="26">
      <c r="A7" s="30" t="inlineStr">
        <is>
          <t>Cast Delay</t>
        </is>
      </c>
      <c r="B7" s="30" t="inlineStr">
        <is>
          <t>Cooldown after any skill during which no other skill can be cast.</t>
        </is>
      </c>
      <c r="C7" s="30" t="inlineStr">
        <is>
          <t>Planned — blocked on skill system</t>
        </is>
      </c>
    </row>
    <row r="8" ht="15" customHeight="1" s="26">
      <c r="A8" s="30" t="inlineStr">
        <is>
          <t>Cooldown</t>
        </is>
      </c>
      <c r="B8" s="30" t="inlineStr">
        <is>
          <t>Per-skill reuse delay, independent of Cast Delay.</t>
        </is>
      </c>
      <c r="C8" s="30" t="inlineStr">
        <is>
          <t>Planned — blocked on skill system</t>
        </is>
      </c>
    </row>
    <row r="9" ht="15" customHeight="1" s="26">
      <c r="A9" s="30" t="inlineStr">
        <is>
          <t>Critical Hit Shield</t>
        </is>
      </c>
      <c r="B9" s="30" t="inlineStr">
        <is>
          <t>Defender-side value that reduces the attacker's effective Critical Rate.</t>
        </is>
      </c>
      <c r="C9" s="30" t="inlineStr">
        <is>
          <t>Planned</t>
        </is>
      </c>
    </row>
    <row r="10" ht="23.25" customHeight="1" s="26">
      <c r="A10" s="30" t="inlineStr">
        <is>
          <t>Perfect Dodge</t>
        </is>
      </c>
      <c r="B10" s="30" t="inlineStr">
        <is>
          <t>Flat chance to dodge any physical attack, bypassing normal Flee/Hit checks.</t>
        </is>
      </c>
      <c r="C10" s="30" t="inlineStr">
        <is>
          <t>Planned</t>
        </is>
      </c>
    </row>
    <row r="11" ht="15" customHeight="1" s="26">
      <c r="A11" s="30" t="inlineStr">
        <is>
          <t>Perfect Hit</t>
        </is>
      </c>
      <c r="B11" s="30" t="inlineStr">
        <is>
          <t>Flat chance for a physical attack to bypass accuracy checks entirely.</t>
        </is>
      </c>
      <c r="C11" s="30" t="inlineStr">
        <is>
          <t>Planned</t>
        </is>
      </c>
    </row>
    <row r="12" ht="23.25" customHeight="1" s="26">
      <c r="A12" s="30" t="inlineStr">
        <is>
          <t>Weight Limit</t>
        </is>
      </c>
      <c r="B12" s="30" t="inlineStr">
        <is>
          <t>Total carry capacity.</t>
        </is>
      </c>
      <c r="C12" s="30" t="inlineStr">
        <is>
          <t>Implemented today via total carry weight, not tied to STR yet</t>
        </is>
      </c>
    </row>
    <row r="13" ht="23.25" customHeight="1" s="26">
      <c r="A13" s="30" t="inlineStr">
        <is>
          <t>Movement Speed</t>
        </is>
      </c>
      <c r="B13" s="30" t="inlineStr">
        <is>
          <t>Walking speed. Not affected by AGI in RO — only by skills/items.</t>
        </is>
      </c>
      <c r="C13" s="30" t="inlineStr">
        <is>
          <t>Implemented as a flat speed; not tied to any stat, matching RO</t>
        </is>
      </c>
    </row>
    <row r="14" ht="23.25" customHeight="1" s="26">
      <c r="A14" s="30" t="inlineStr">
        <is>
          <t>Status Effect Resistance</t>
        </is>
      </c>
      <c r="B14" s="30" t="inlineStr">
        <is>
          <t>Several base stats reduce the chance and/or duration of specific negative status effects.</t>
        </is>
      </c>
      <c r="C14" s="30" t="inlineStr">
        <is>
          <t>Implemented 2026-09-23 — VIT-derived for the player ((VIT+3)/100, clamped), flat CharacterStatsDefinition.StatusResistChance per enemy. One unified roll for all six statuses, not per-status VIT/LUK split (see FUTURE_IMPROVEMENTS.md).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5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24" customWidth="1" style="25" min="2" max="2"/>
  </cols>
  <sheetData>
    <row r="1" ht="19.5" customHeight="1" s="26">
      <c r="A1" s="27" t="inlineStr">
        <is>
          <t>Leveling &amp; Stat Costs — RO Reference (Implemented)</t>
        </is>
      </c>
    </row>
    <row r="2" ht="15" customHeight="1" s="26">
      <c r="A2" s="28" t="inlineStr">
        <is>
          <t>Implemented in code exactly as documented below (RagnarokStatPointCostStrategy / RagnarokStatPointsPerLevelStrategy, Project.Character.Stats). Reference: iRO Wiki — Stats (https://irowiki.org/wiki/Stats), consulted July 2026, re-confirmed September 2026. Starting stat points at level 1 (48) are implemented too (PlayerStatsController.RealRagnarokStartingStatPoints).</t>
        </is>
      </c>
    </row>
    <row r="4" ht="15" customHeight="1" s="26">
      <c r="A4" s="43" t="inlineStr">
        <is>
          <t>Stat Points Granted per Base Level-Up</t>
        </is>
      </c>
    </row>
    <row r="5" ht="15" customHeight="1" s="26">
      <c r="A5" s="28" t="inlineStr">
        <is>
          <t>Formula by level range (X = current level, points gained going from X to X+1):</t>
        </is>
      </c>
    </row>
    <row r="6" ht="15" customHeight="1" s="26">
      <c r="A6" s="30" t="inlineStr">
        <is>
          <t>Level 1-99</t>
        </is>
      </c>
      <c r="B6" s="30" t="inlineStr">
        <is>
          <t>floor(X / 5) + 3</t>
        </is>
      </c>
    </row>
    <row r="7" ht="15" customHeight="1" s="26">
      <c r="A7" s="30" t="inlineStr">
        <is>
          <t>Level 100-150</t>
        </is>
      </c>
      <c r="B7" s="30" t="inlineStr">
        <is>
          <t>floor(X / 10) + 13</t>
        </is>
      </c>
    </row>
    <row r="8" ht="15" customHeight="1" s="26">
      <c r="A8" s="30" t="inlineStr">
        <is>
          <t>Level 151-200</t>
        </is>
      </c>
      <c r="B8" s="30" t="inlineStr">
        <is>
          <t>floor((X - 150) / 7) + 28</t>
        </is>
      </c>
    </row>
    <row r="10" ht="15" customHeight="1" s="26">
      <c r="A10" s="31" t="inlineStr">
        <is>
          <t>Points Gained by Level Range (lookup table)</t>
        </is>
      </c>
    </row>
    <row r="11" ht="15" customHeight="1" s="26">
      <c r="A11" s="29" t="inlineStr">
        <is>
          <t>Level Range</t>
        </is>
      </c>
      <c r="B11" s="29" t="inlineStr">
        <is>
          <t>Points Gained</t>
        </is>
      </c>
    </row>
    <row r="12" ht="15" customHeight="1" s="26">
      <c r="A12" s="30" t="inlineStr">
        <is>
          <t>1-4</t>
        </is>
      </c>
      <c r="B12" s="30" t="n">
        <v>3</v>
      </c>
    </row>
    <row r="13" ht="15" customHeight="1" s="26">
      <c r="A13" s="30" t="inlineStr">
        <is>
          <t>5-9</t>
        </is>
      </c>
      <c r="B13" s="30" t="n">
        <v>4</v>
      </c>
    </row>
    <row r="14" ht="15" customHeight="1" s="26">
      <c r="A14" s="30" t="inlineStr">
        <is>
          <t>10-14</t>
        </is>
      </c>
      <c r="B14" s="30" t="n">
        <v>5</v>
      </c>
    </row>
    <row r="15" ht="15" customHeight="1" s="26">
      <c r="A15" s="30" t="inlineStr">
        <is>
          <t>15-19</t>
        </is>
      </c>
      <c r="B15" s="30" t="n">
        <v>6</v>
      </c>
    </row>
    <row r="16" ht="15" customHeight="1" s="26">
      <c r="A16" s="30" t="inlineStr">
        <is>
          <t>20-24</t>
        </is>
      </c>
      <c r="B16" s="30" t="n">
        <v>7</v>
      </c>
    </row>
    <row r="17" ht="15" customHeight="1" s="26">
      <c r="A17" s="30" t="inlineStr">
        <is>
          <t>25-29</t>
        </is>
      </c>
      <c r="B17" s="30" t="n">
        <v>8</v>
      </c>
    </row>
    <row r="18" ht="15" customHeight="1" s="26">
      <c r="A18" s="30" t="inlineStr">
        <is>
          <t>30-34</t>
        </is>
      </c>
      <c r="B18" s="30" t="n">
        <v>9</v>
      </c>
    </row>
    <row r="19" ht="15" customHeight="1" s="26">
      <c r="A19" s="30" t="inlineStr">
        <is>
          <t>35-39</t>
        </is>
      </c>
      <c r="B19" s="30" t="n">
        <v>10</v>
      </c>
    </row>
    <row r="20" ht="15" customHeight="1" s="26">
      <c r="A20" s="30" t="inlineStr">
        <is>
          <t>40-44</t>
        </is>
      </c>
      <c r="B20" s="30" t="n">
        <v>11</v>
      </c>
    </row>
    <row r="21" ht="15" customHeight="1" s="26">
      <c r="A21" s="30" t="inlineStr">
        <is>
          <t>45-49</t>
        </is>
      </c>
      <c r="B21" s="30" t="n">
        <v>12</v>
      </c>
    </row>
    <row r="22" ht="15" customHeight="1" s="26">
      <c r="A22" s="30" t="inlineStr">
        <is>
          <t>50-54</t>
        </is>
      </c>
      <c r="B22" s="30" t="n">
        <v>13</v>
      </c>
    </row>
    <row r="23" ht="15" customHeight="1" s="26">
      <c r="A23" s="30" t="inlineStr">
        <is>
          <t>55-59</t>
        </is>
      </c>
      <c r="B23" s="30" t="n">
        <v>14</v>
      </c>
    </row>
    <row r="24" ht="15" customHeight="1" s="26">
      <c r="A24" s="30" t="inlineStr">
        <is>
          <t>60-64</t>
        </is>
      </c>
      <c r="B24" s="30" t="n">
        <v>15</v>
      </c>
    </row>
    <row r="25" ht="15" customHeight="1" s="26">
      <c r="A25" s="30" t="inlineStr">
        <is>
          <t>65-69</t>
        </is>
      </c>
      <c r="B25" s="30" t="n">
        <v>16</v>
      </c>
    </row>
    <row r="26" ht="15" customHeight="1" s="26">
      <c r="A26" s="30" t="inlineStr">
        <is>
          <t>70-74</t>
        </is>
      </c>
      <c r="B26" s="30" t="n">
        <v>17</v>
      </c>
    </row>
    <row r="27" ht="15" customHeight="1" s="26">
      <c r="A27" s="30" t="inlineStr">
        <is>
          <t>75-79</t>
        </is>
      </c>
      <c r="B27" s="30" t="n">
        <v>18</v>
      </c>
    </row>
    <row r="28" ht="15" customHeight="1" s="26">
      <c r="A28" s="30" t="inlineStr">
        <is>
          <t>80-84</t>
        </is>
      </c>
      <c r="B28" s="30" t="n">
        <v>19</v>
      </c>
    </row>
    <row r="29" ht="15" customHeight="1" s="26">
      <c r="A29" s="30" t="inlineStr">
        <is>
          <t>85-89</t>
        </is>
      </c>
      <c r="B29" s="30" t="n">
        <v>20</v>
      </c>
    </row>
    <row r="30" ht="15" customHeight="1" s="26">
      <c r="A30" s="30" t="inlineStr">
        <is>
          <t>90-94</t>
        </is>
      </c>
      <c r="B30" s="30" t="n">
        <v>21</v>
      </c>
    </row>
    <row r="31" ht="15" customHeight="1" s="26">
      <c r="A31" s="30" t="inlineStr">
        <is>
          <t>95-99</t>
        </is>
      </c>
      <c r="B31" s="30" t="n">
        <v>22</v>
      </c>
    </row>
    <row r="32" ht="15" customHeight="1" s="26">
      <c r="A32" s="30" t="inlineStr">
        <is>
          <t>100-109</t>
        </is>
      </c>
      <c r="B32" s="30" t="n">
        <v>23</v>
      </c>
    </row>
    <row r="33" ht="15" customHeight="1" s="26">
      <c r="A33" s="30" t="inlineStr">
        <is>
          <t>110-119</t>
        </is>
      </c>
      <c r="B33" s="30" t="n">
        <v>24</v>
      </c>
    </row>
    <row r="34" ht="15" customHeight="1" s="26">
      <c r="A34" s="30" t="inlineStr">
        <is>
          <t>120-129</t>
        </is>
      </c>
      <c r="B34" s="30" t="n">
        <v>25</v>
      </c>
    </row>
    <row r="35" ht="15" customHeight="1" s="26">
      <c r="A35" s="30" t="inlineStr">
        <is>
          <t>130-139</t>
        </is>
      </c>
      <c r="B35" s="30" t="n">
        <v>26</v>
      </c>
    </row>
    <row r="36" ht="15" customHeight="1" s="26">
      <c r="A36" s="30" t="inlineStr">
        <is>
          <t>140-150</t>
        </is>
      </c>
      <c r="B36" s="30" t="n">
        <v>27</v>
      </c>
    </row>
    <row r="37" ht="15" customHeight="1" s="26">
      <c r="A37" s="30" t="inlineStr">
        <is>
          <t>151-157</t>
        </is>
      </c>
      <c r="B37" s="30" t="n">
        <v>28</v>
      </c>
    </row>
    <row r="38" ht="15" customHeight="1" s="26">
      <c r="A38" s="30" t="inlineStr">
        <is>
          <t>158-164</t>
        </is>
      </c>
      <c r="B38" s="30" t="n">
        <v>29</v>
      </c>
    </row>
    <row r="39" ht="15" customHeight="1" s="26">
      <c r="A39" s="30" t="inlineStr">
        <is>
          <t>165-171</t>
        </is>
      </c>
      <c r="B39" s="30" t="n">
        <v>30</v>
      </c>
    </row>
    <row r="40" ht="15" customHeight="1" s="26">
      <c r="A40" s="30" t="inlineStr">
        <is>
          <t>172-178</t>
        </is>
      </c>
      <c r="B40" s="30" t="n">
        <v>31</v>
      </c>
    </row>
    <row r="41" ht="15" customHeight="1" s="26">
      <c r="A41" s="30" t="inlineStr">
        <is>
          <t>179-185</t>
        </is>
      </c>
      <c r="B41" s="30" t="n">
        <v>32</v>
      </c>
    </row>
    <row r="42" ht="15" customHeight="1" s="26">
      <c r="A42" s="30" t="inlineStr">
        <is>
          <t>186-192</t>
        </is>
      </c>
      <c r="B42" s="30" t="n">
        <v>33</v>
      </c>
    </row>
    <row r="43" ht="15" customHeight="1" s="26">
      <c r="A43" s="30" t="inlineStr">
        <is>
          <t>193-199</t>
        </is>
      </c>
      <c r="B43" s="30" t="n">
        <v>34</v>
      </c>
    </row>
    <row r="44" ht="15" customHeight="1" s="26">
      <c r="A44" s="30" t="inlineStr">
        <is>
          <t>200</t>
        </is>
      </c>
      <c r="B44" s="30" t="n">
        <v>35</v>
      </c>
    </row>
    <row r="47" ht="15" customHeight="1" s="26">
      <c r="A47" s="43" t="inlineStr">
        <is>
          <t>Cost to Raise a Single Stat by 1 Point</t>
        </is>
      </c>
    </row>
    <row r="48" ht="15" customHeight="1" s="26">
      <c r="A48" s="28" t="inlineStr">
        <is>
          <t>Formula by current stat value X:</t>
        </is>
      </c>
    </row>
    <row r="49" ht="15" customHeight="1" s="26">
      <c r="A49" s="30" t="inlineStr">
        <is>
          <t>Stat value 1-99</t>
        </is>
      </c>
      <c r="B49" s="30" t="inlineStr">
        <is>
          <t>floor((X - 1) / 10) + 2</t>
        </is>
      </c>
    </row>
    <row r="50" ht="15" customHeight="1" s="26">
      <c r="A50" s="30" t="inlineStr">
        <is>
          <t>Stat value 100-129 (third class only)</t>
        </is>
      </c>
      <c r="B50" s="30" t="inlineStr">
        <is>
          <t>4 × floor((X - 100) / 5) + 16</t>
        </is>
      </c>
    </row>
    <row r="52" ht="15" customHeight="1" s="26">
      <c r="A52" s="31" t="inlineStr">
        <is>
          <t>Raise Cost by Stat Range (lookup table)</t>
        </is>
      </c>
    </row>
    <row r="53" ht="15" customHeight="1" s="26">
      <c r="A53" s="29" t="inlineStr">
        <is>
          <t>Stat Range</t>
        </is>
      </c>
      <c r="B53" s="29" t="inlineStr">
        <is>
          <t>Cost per Point</t>
        </is>
      </c>
    </row>
    <row r="54" ht="15" customHeight="1" s="26">
      <c r="A54" s="30" t="inlineStr">
        <is>
          <t>1-10</t>
        </is>
      </c>
      <c r="B54" s="30" t="n">
        <v>2</v>
      </c>
    </row>
    <row r="55" ht="15" customHeight="1" s="26">
      <c r="A55" s="30" t="inlineStr">
        <is>
          <t>11-20</t>
        </is>
      </c>
      <c r="B55" s="30" t="n">
        <v>3</v>
      </c>
    </row>
    <row r="56" ht="15" customHeight="1" s="26">
      <c r="A56" s="30" t="inlineStr">
        <is>
          <t>21-30</t>
        </is>
      </c>
      <c r="B56" s="30" t="n">
        <v>4</v>
      </c>
    </row>
    <row r="57" ht="15" customHeight="1" s="26">
      <c r="A57" s="30" t="inlineStr">
        <is>
          <t>31-40</t>
        </is>
      </c>
      <c r="B57" s="30" t="n">
        <v>5</v>
      </c>
    </row>
    <row r="58" ht="15" customHeight="1" s="26">
      <c r="A58" s="30" t="inlineStr">
        <is>
          <t>41-50</t>
        </is>
      </c>
      <c r="B58" s="30" t="n">
        <v>6</v>
      </c>
    </row>
    <row r="59" ht="15" customHeight="1" s="26">
      <c r="A59" s="30" t="inlineStr">
        <is>
          <t>51-60</t>
        </is>
      </c>
      <c r="B59" s="30" t="n">
        <v>7</v>
      </c>
    </row>
    <row r="60" ht="15" customHeight="1" s="26">
      <c r="A60" s="30" t="inlineStr">
        <is>
          <t>61-70</t>
        </is>
      </c>
      <c r="B60" s="30" t="n">
        <v>8</v>
      </c>
    </row>
    <row r="61" ht="15" customHeight="1" s="26">
      <c r="A61" s="30" t="inlineStr">
        <is>
          <t>71-80</t>
        </is>
      </c>
      <c r="B61" s="30" t="n">
        <v>9</v>
      </c>
    </row>
    <row r="62" ht="15" customHeight="1" s="26">
      <c r="A62" s="30" t="inlineStr">
        <is>
          <t>81-90</t>
        </is>
      </c>
      <c r="B62" s="30" t="n">
        <v>10</v>
      </c>
    </row>
    <row r="63" ht="15" customHeight="1" s="26">
      <c r="A63" s="30" t="inlineStr">
        <is>
          <t>91-99</t>
        </is>
      </c>
      <c r="B63" s="30" t="n">
        <v>11</v>
      </c>
    </row>
    <row r="64" ht="15" customHeight="1" s="26">
      <c r="A64" s="30" t="inlineStr">
        <is>
          <t>100-104</t>
        </is>
      </c>
      <c r="B64" s="30" t="n">
        <v>16</v>
      </c>
    </row>
    <row r="65" ht="15" customHeight="1" s="26">
      <c r="A65" s="30" t="inlineStr">
        <is>
          <t>105-109</t>
        </is>
      </c>
      <c r="B65" s="30" t="n">
        <v>20</v>
      </c>
    </row>
    <row r="66" ht="15" customHeight="1" s="26">
      <c r="A66" s="30" t="inlineStr">
        <is>
          <t>110-114</t>
        </is>
      </c>
      <c r="B66" s="30" t="n">
        <v>24</v>
      </c>
    </row>
    <row r="67" ht="15" customHeight="1" s="26">
      <c r="A67" s="30" t="inlineStr">
        <is>
          <t>115-120</t>
        </is>
      </c>
      <c r="B67" s="30" t="n">
        <v>28</v>
      </c>
    </row>
    <row r="68" ht="15" customHeight="1" s="26">
      <c r="A68" s="30" t="inlineStr">
        <is>
          <t>121-125</t>
        </is>
      </c>
      <c r="B68" s="30" t="n">
        <v>32</v>
      </c>
    </row>
    <row r="69" ht="15" customHeight="1" s="26">
      <c r="A69" s="30" t="inlineStr">
        <is>
          <t>126-130</t>
        </is>
      </c>
      <c r="B69" s="30" t="n">
        <v>36</v>
      </c>
    </row>
    <row r="72" ht="15" customHeight="1" s="26">
      <c r="A72" s="28" t="inlineStr">
        <is>
          <t>Reference totals: raising a stat from 1 to 99 costs 628 points total. Reaching Base Level 99 grants 1225 stat points total (1273 including the 48 a character starts with at Level 1).</t>
        </is>
      </c>
    </row>
    <row r="73" ht="15" customHeight="1" s="26">
      <c r="A73" s="28" t="inlineStr">
        <is>
          <t>Note: this sheet covers stat points ONLY. The required-XP-per-level curve below was added 2026-09-18 — Base Level now uses the real, sourced table; Job Level still uses the LinearJobExperienceCurve flat placeholder (50 x current job level), not yet sourced.</t>
        </is>
      </c>
    </row>
    <row r="75" ht="135.75" customHeight="1" s="26">
      <c r="A75" s="44" t="inlineStr">
        <is>
          <t>Known discrepancy at the tier boundary: the formula evaluated at exactly level 150 gives 28 points, but this lookup table (row "140-150", matching the original iRO Wiki table) lists 27 — a one-level inconsistency in the source reference itself, not in the code. RagnarokStatPointsPerLevelStrategy always uses the formula, never this lookup table, so the game computes 28 at level 150.</t>
        </is>
      </c>
    </row>
    <row r="78" ht="15" customHeight="1" s="26">
      <c r="A78" s="43" t="inlineStr">
        <is>
          <t>Growth Curves — How Each Formula Scales</t>
        </is>
      </c>
    </row>
    <row r="79" ht="30" customHeight="1" s="26">
      <c r="A79" s="46" t="inlineStr">
        <is>
          <t>Both curves below evaluate the exact per-level / per-point formulas above at every level or stat value, not just the range midpoints in the lookup tables — the step shape (points jump at fixed intervals, not a smooth ramp) is a real feature of these formulas.</t>
        </is>
      </c>
    </row>
    <row r="81" ht="15" customHeight="1" s="26">
      <c r="A81" s="31" t="inlineStr">
        <is>
          <t>Stat Points Granted, by Exact Level</t>
        </is>
      </c>
    </row>
    <row r="82" ht="26.25" customHeight="1" s="26">
      <c r="A82" s="45" t="inlineStr">
        <is>
          <t>Base Level (X)</t>
        </is>
      </c>
      <c r="B82" s="45" t="inlineStr">
        <is>
          <t>Points Gained (X → X+1)</t>
        </is>
      </c>
    </row>
    <row r="83" ht="15" customHeight="1" s="26">
      <c r="A83" s="37" t="n">
        <v>1</v>
      </c>
      <c r="B83" s="37">
        <f>IF(A83&lt;=99,FLOOR(A83/5,1)+3,IF(A83&lt;=150,FLOOR(A83/10,1)+13,FLOOR((A83-150)/7,1)+28))</f>
        <v/>
      </c>
    </row>
    <row r="84" ht="15" customHeight="1" s="26">
      <c r="A84" s="37">
        <f>A83+1</f>
        <v/>
      </c>
      <c r="B84" s="37">
        <f>IF(A84&lt;=99,FLOOR(A84/5,1)+3,IF(A84&lt;=150,FLOOR(A84/10,1)+13,FLOOR((A84-150)/7,1)+28))</f>
        <v/>
      </c>
    </row>
    <row r="85" ht="15" customHeight="1" s="26">
      <c r="A85" s="37">
        <f>A84+1</f>
        <v/>
      </c>
      <c r="B85" s="37">
        <f>IF(A85&lt;=99,FLOOR(A85/5,1)+3,IF(A85&lt;=150,FLOOR(A85/10,1)+13,FLOOR((A85-150)/7,1)+28))</f>
        <v/>
      </c>
    </row>
    <row r="86" ht="15" customHeight="1" s="26">
      <c r="A86" s="37">
        <f>A85+1</f>
        <v/>
      </c>
      <c r="B86" s="37">
        <f>IF(A86&lt;=99,FLOOR(A86/5,1)+3,IF(A86&lt;=150,FLOOR(A86/10,1)+13,FLOOR((A86-150)/7,1)+28))</f>
        <v/>
      </c>
    </row>
    <row r="87" ht="15" customHeight="1" s="26">
      <c r="A87" s="37">
        <f>A86+1</f>
        <v/>
      </c>
      <c r="B87" s="37">
        <f>IF(A87&lt;=99,FLOOR(A87/5,1)+3,IF(A87&lt;=150,FLOOR(A87/10,1)+13,FLOOR((A87-150)/7,1)+28))</f>
        <v/>
      </c>
    </row>
    <row r="88" ht="15" customHeight="1" s="26">
      <c r="A88" s="37">
        <f>A87+1</f>
        <v/>
      </c>
      <c r="B88" s="37">
        <f>IF(A88&lt;=99,FLOOR(A88/5,1)+3,IF(A88&lt;=150,FLOOR(A88/10,1)+13,FLOOR((A88-150)/7,1)+28))</f>
        <v/>
      </c>
    </row>
    <row r="89" ht="15" customHeight="1" s="26">
      <c r="A89" s="37">
        <f>A88+1</f>
        <v/>
      </c>
      <c r="B89" s="37">
        <f>IF(A89&lt;=99,FLOOR(A89/5,1)+3,IF(A89&lt;=150,FLOOR(A89/10,1)+13,FLOOR((A89-150)/7,1)+28))</f>
        <v/>
      </c>
    </row>
    <row r="90" ht="15" customHeight="1" s="26">
      <c r="A90" s="37">
        <f>A89+1</f>
        <v/>
      </c>
      <c r="B90" s="37">
        <f>IF(A90&lt;=99,FLOOR(A90/5,1)+3,IF(A90&lt;=150,FLOOR(A90/10,1)+13,FLOOR((A90-150)/7,1)+28))</f>
        <v/>
      </c>
    </row>
    <row r="91" ht="15" customHeight="1" s="26">
      <c r="A91" s="37">
        <f>A90+1</f>
        <v/>
      </c>
      <c r="B91" s="37">
        <f>IF(A91&lt;=99,FLOOR(A91/5,1)+3,IF(A91&lt;=150,FLOOR(A91/10,1)+13,FLOOR((A91-150)/7,1)+28))</f>
        <v/>
      </c>
    </row>
    <row r="92" ht="15" customHeight="1" s="26">
      <c r="A92" s="37">
        <f>A91+1</f>
        <v/>
      </c>
      <c r="B92" s="37">
        <f>IF(A92&lt;=99,FLOOR(A92/5,1)+3,IF(A92&lt;=150,FLOOR(A92/10,1)+13,FLOOR((A92-150)/7,1)+28))</f>
        <v/>
      </c>
    </row>
    <row r="93" ht="15" customHeight="1" s="26">
      <c r="A93" s="37">
        <f>A92+1</f>
        <v/>
      </c>
      <c r="B93" s="37">
        <f>IF(A93&lt;=99,FLOOR(A93/5,1)+3,IF(A93&lt;=150,FLOOR(A93/10,1)+13,FLOOR((A93-150)/7,1)+28))</f>
        <v/>
      </c>
    </row>
    <row r="94" ht="15" customHeight="1" s="26">
      <c r="A94" s="37">
        <f>A93+1</f>
        <v/>
      </c>
      <c r="B94" s="37">
        <f>IF(A94&lt;=99,FLOOR(A94/5,1)+3,IF(A94&lt;=150,FLOOR(A94/10,1)+13,FLOOR((A94-150)/7,1)+28))</f>
        <v/>
      </c>
    </row>
    <row r="95" ht="15" customHeight="1" s="26">
      <c r="A95" s="37">
        <f>A94+1</f>
        <v/>
      </c>
      <c r="B95" s="37">
        <f>IF(A95&lt;=99,FLOOR(A95/5,1)+3,IF(A95&lt;=150,FLOOR(A95/10,1)+13,FLOOR((A95-150)/7,1)+28))</f>
        <v/>
      </c>
    </row>
    <row r="96" ht="15" customHeight="1" s="26">
      <c r="A96" s="37">
        <f>A95+1</f>
        <v/>
      </c>
      <c r="B96" s="37">
        <f>IF(A96&lt;=99,FLOOR(A96/5,1)+3,IF(A96&lt;=150,FLOOR(A96/10,1)+13,FLOOR((A96-150)/7,1)+28))</f>
        <v/>
      </c>
    </row>
    <row r="97" ht="15" customHeight="1" s="26">
      <c r="A97" s="37">
        <f>A96+1</f>
        <v/>
      </c>
      <c r="B97" s="37">
        <f>IF(A97&lt;=99,FLOOR(A97/5,1)+3,IF(A97&lt;=150,FLOOR(A97/10,1)+13,FLOOR((A97-150)/7,1)+28))</f>
        <v/>
      </c>
    </row>
    <row r="98" ht="15" customHeight="1" s="26">
      <c r="A98" s="37">
        <f>A97+1</f>
        <v/>
      </c>
      <c r="B98" s="37">
        <f>IF(A98&lt;=99,FLOOR(A98/5,1)+3,IF(A98&lt;=150,FLOOR(A98/10,1)+13,FLOOR((A98-150)/7,1)+28))</f>
        <v/>
      </c>
    </row>
    <row r="99" ht="15" customHeight="1" s="26">
      <c r="A99" s="37">
        <f>A98+1</f>
        <v/>
      </c>
      <c r="B99" s="37">
        <f>IF(A99&lt;=99,FLOOR(A99/5,1)+3,IF(A99&lt;=150,FLOOR(A99/10,1)+13,FLOOR((A99-150)/7,1)+28))</f>
        <v/>
      </c>
    </row>
    <row r="100" ht="15" customHeight="1" s="26">
      <c r="A100" s="37">
        <f>A99+1</f>
        <v/>
      </c>
      <c r="B100" s="37">
        <f>IF(A100&lt;=99,FLOOR(A100/5,1)+3,IF(A100&lt;=150,FLOOR(A100/10,1)+13,FLOOR((A100-150)/7,1)+28))</f>
        <v/>
      </c>
    </row>
    <row r="101" ht="15" customHeight="1" s="26">
      <c r="A101" s="37">
        <f>A100+1</f>
        <v/>
      </c>
      <c r="B101" s="37">
        <f>IF(A101&lt;=99,FLOOR(A101/5,1)+3,IF(A101&lt;=150,FLOOR(A101/10,1)+13,FLOOR((A101-150)/7,1)+28))</f>
        <v/>
      </c>
    </row>
    <row r="102" ht="15" customHeight="1" s="26">
      <c r="A102" s="37">
        <f>A101+1</f>
        <v/>
      </c>
      <c r="B102" s="37">
        <f>IF(A102&lt;=99,FLOOR(A102/5,1)+3,IF(A102&lt;=150,FLOOR(A102/10,1)+13,FLOOR((A102-150)/7,1)+28))</f>
        <v/>
      </c>
    </row>
    <row r="103" ht="15" customHeight="1" s="26">
      <c r="A103" s="37">
        <f>A102+1</f>
        <v/>
      </c>
      <c r="B103" s="37">
        <f>IF(A103&lt;=99,FLOOR(A103/5,1)+3,IF(A103&lt;=150,FLOOR(A103/10,1)+13,FLOOR((A103-150)/7,1)+28))</f>
        <v/>
      </c>
    </row>
    <row r="104" ht="15" customHeight="1" s="26">
      <c r="A104" s="37">
        <f>A103+1</f>
        <v/>
      </c>
      <c r="B104" s="37">
        <f>IF(A104&lt;=99,FLOOR(A104/5,1)+3,IF(A104&lt;=150,FLOOR(A104/10,1)+13,FLOOR((A104-150)/7,1)+28))</f>
        <v/>
      </c>
    </row>
    <row r="105" ht="15" customHeight="1" s="26">
      <c r="A105" s="37">
        <f>A104+1</f>
        <v/>
      </c>
      <c r="B105" s="37">
        <f>IF(A105&lt;=99,FLOOR(A105/5,1)+3,IF(A105&lt;=150,FLOOR(A105/10,1)+13,FLOOR((A105-150)/7,1)+28))</f>
        <v/>
      </c>
    </row>
    <row r="106" ht="15" customHeight="1" s="26">
      <c r="A106" s="37">
        <f>A105+1</f>
        <v/>
      </c>
      <c r="B106" s="37">
        <f>IF(A106&lt;=99,FLOOR(A106/5,1)+3,IF(A106&lt;=150,FLOOR(A106/10,1)+13,FLOOR((A106-150)/7,1)+28))</f>
        <v/>
      </c>
    </row>
    <row r="107" ht="15" customHeight="1" s="26">
      <c r="A107" s="37">
        <f>A106+1</f>
        <v/>
      </c>
      <c r="B107" s="37">
        <f>IF(A107&lt;=99,FLOOR(A107/5,1)+3,IF(A107&lt;=150,FLOOR(A107/10,1)+13,FLOOR((A107-150)/7,1)+28))</f>
        <v/>
      </c>
    </row>
    <row r="108" ht="15" customHeight="1" s="26">
      <c r="A108" s="37">
        <f>A107+1</f>
        <v/>
      </c>
      <c r="B108" s="37">
        <f>IF(A108&lt;=99,FLOOR(A108/5,1)+3,IF(A108&lt;=150,FLOOR(A108/10,1)+13,FLOOR((A108-150)/7,1)+28))</f>
        <v/>
      </c>
    </row>
    <row r="109" ht="15" customHeight="1" s="26">
      <c r="A109" s="37">
        <f>A108+1</f>
        <v/>
      </c>
      <c r="B109" s="37">
        <f>IF(A109&lt;=99,FLOOR(A109/5,1)+3,IF(A109&lt;=150,FLOOR(A109/10,1)+13,FLOOR((A109-150)/7,1)+28))</f>
        <v/>
      </c>
    </row>
    <row r="110" ht="15" customHeight="1" s="26">
      <c r="A110" s="37">
        <f>A109+1</f>
        <v/>
      </c>
      <c r="B110" s="37">
        <f>IF(A110&lt;=99,FLOOR(A110/5,1)+3,IF(A110&lt;=150,FLOOR(A110/10,1)+13,FLOOR((A110-150)/7,1)+28))</f>
        <v/>
      </c>
    </row>
    <row r="111" ht="15" customHeight="1" s="26">
      <c r="A111" s="37">
        <f>A110+1</f>
        <v/>
      </c>
      <c r="B111" s="37">
        <f>IF(A111&lt;=99,FLOOR(A111/5,1)+3,IF(A111&lt;=150,FLOOR(A111/10,1)+13,FLOOR((A111-150)/7,1)+28))</f>
        <v/>
      </c>
    </row>
    <row r="112" ht="15" customHeight="1" s="26">
      <c r="A112" s="37">
        <f>A111+1</f>
        <v/>
      </c>
      <c r="B112" s="37">
        <f>IF(A112&lt;=99,FLOOR(A112/5,1)+3,IF(A112&lt;=150,FLOOR(A112/10,1)+13,FLOOR((A112-150)/7,1)+28))</f>
        <v/>
      </c>
    </row>
    <row r="113" ht="15" customHeight="1" s="26">
      <c r="A113" s="37">
        <f>A112+1</f>
        <v/>
      </c>
      <c r="B113" s="37">
        <f>IF(A113&lt;=99,FLOOR(A113/5,1)+3,IF(A113&lt;=150,FLOOR(A113/10,1)+13,FLOOR((A113-150)/7,1)+28))</f>
        <v/>
      </c>
    </row>
    <row r="114" ht="15" customHeight="1" s="26">
      <c r="A114" s="37">
        <f>A113+1</f>
        <v/>
      </c>
      <c r="B114" s="37">
        <f>IF(A114&lt;=99,FLOOR(A114/5,1)+3,IF(A114&lt;=150,FLOOR(A114/10,1)+13,FLOOR((A114-150)/7,1)+28))</f>
        <v/>
      </c>
    </row>
    <row r="115" ht="15" customHeight="1" s="26">
      <c r="A115" s="37">
        <f>A114+1</f>
        <v/>
      </c>
      <c r="B115" s="37">
        <f>IF(A115&lt;=99,FLOOR(A115/5,1)+3,IF(A115&lt;=150,FLOOR(A115/10,1)+13,FLOOR((A115-150)/7,1)+28))</f>
        <v/>
      </c>
    </row>
    <row r="116" ht="15" customHeight="1" s="26">
      <c r="A116" s="37">
        <f>A115+1</f>
        <v/>
      </c>
      <c r="B116" s="37">
        <f>IF(A116&lt;=99,FLOOR(A116/5,1)+3,IF(A116&lt;=150,FLOOR(A116/10,1)+13,FLOOR((A116-150)/7,1)+28))</f>
        <v/>
      </c>
    </row>
    <row r="117" ht="15" customHeight="1" s="26">
      <c r="A117" s="37">
        <f>A116+1</f>
        <v/>
      </c>
      <c r="B117" s="37">
        <f>IF(A117&lt;=99,FLOOR(A117/5,1)+3,IF(A117&lt;=150,FLOOR(A117/10,1)+13,FLOOR((A117-150)/7,1)+28))</f>
        <v/>
      </c>
    </row>
    <row r="118" ht="15" customHeight="1" s="26">
      <c r="A118" s="37">
        <f>A117+1</f>
        <v/>
      </c>
      <c r="B118" s="37">
        <f>IF(A118&lt;=99,FLOOR(A118/5,1)+3,IF(A118&lt;=150,FLOOR(A118/10,1)+13,FLOOR((A118-150)/7,1)+28))</f>
        <v/>
      </c>
    </row>
    <row r="119" ht="15" customHeight="1" s="26">
      <c r="A119" s="37">
        <f>A118+1</f>
        <v/>
      </c>
      <c r="B119" s="37">
        <f>IF(A119&lt;=99,FLOOR(A119/5,1)+3,IF(A119&lt;=150,FLOOR(A119/10,1)+13,FLOOR((A119-150)/7,1)+28))</f>
        <v/>
      </c>
    </row>
    <row r="120" ht="15" customHeight="1" s="26">
      <c r="A120" s="37">
        <f>A119+1</f>
        <v/>
      </c>
      <c r="B120" s="37">
        <f>IF(A120&lt;=99,FLOOR(A120/5,1)+3,IF(A120&lt;=150,FLOOR(A120/10,1)+13,FLOOR((A120-150)/7,1)+28))</f>
        <v/>
      </c>
    </row>
    <row r="121" ht="15" customHeight="1" s="26">
      <c r="A121" s="37">
        <f>A120+1</f>
        <v/>
      </c>
      <c r="B121" s="37">
        <f>IF(A121&lt;=99,FLOOR(A121/5,1)+3,IF(A121&lt;=150,FLOOR(A121/10,1)+13,FLOOR((A121-150)/7,1)+28))</f>
        <v/>
      </c>
    </row>
    <row r="122" ht="15" customHeight="1" s="26">
      <c r="A122" s="37">
        <f>A121+1</f>
        <v/>
      </c>
      <c r="B122" s="37">
        <f>IF(A122&lt;=99,FLOOR(A122/5,1)+3,IF(A122&lt;=150,FLOOR(A122/10,1)+13,FLOOR((A122-150)/7,1)+28))</f>
        <v/>
      </c>
    </row>
    <row r="123" ht="15" customHeight="1" s="26">
      <c r="A123" s="37">
        <f>A122+1</f>
        <v/>
      </c>
      <c r="B123" s="37">
        <f>IF(A123&lt;=99,FLOOR(A123/5,1)+3,IF(A123&lt;=150,FLOOR(A123/10,1)+13,FLOOR((A123-150)/7,1)+28))</f>
        <v/>
      </c>
    </row>
    <row r="124" ht="15" customHeight="1" s="26">
      <c r="A124" s="37">
        <f>A123+1</f>
        <v/>
      </c>
      <c r="B124" s="37">
        <f>IF(A124&lt;=99,FLOOR(A124/5,1)+3,IF(A124&lt;=150,FLOOR(A124/10,1)+13,FLOOR((A124-150)/7,1)+28))</f>
        <v/>
      </c>
    </row>
    <row r="125" ht="15" customHeight="1" s="26">
      <c r="A125" s="37">
        <f>A124+1</f>
        <v/>
      </c>
      <c r="B125" s="37">
        <f>IF(A125&lt;=99,FLOOR(A125/5,1)+3,IF(A125&lt;=150,FLOOR(A125/10,1)+13,FLOOR((A125-150)/7,1)+28))</f>
        <v/>
      </c>
    </row>
    <row r="126" ht="15" customHeight="1" s="26">
      <c r="A126" s="37">
        <f>A125+1</f>
        <v/>
      </c>
      <c r="B126" s="37">
        <f>IF(A126&lt;=99,FLOOR(A126/5,1)+3,IF(A126&lt;=150,FLOOR(A126/10,1)+13,FLOOR((A126-150)/7,1)+28))</f>
        <v/>
      </c>
    </row>
    <row r="127" ht="15" customHeight="1" s="26">
      <c r="A127" s="37">
        <f>A126+1</f>
        <v/>
      </c>
      <c r="B127" s="37">
        <f>IF(A127&lt;=99,FLOOR(A127/5,1)+3,IF(A127&lt;=150,FLOOR(A127/10,1)+13,FLOOR((A127-150)/7,1)+28))</f>
        <v/>
      </c>
    </row>
    <row r="128" ht="15" customHeight="1" s="26">
      <c r="A128" s="37">
        <f>A127+1</f>
        <v/>
      </c>
      <c r="B128" s="37">
        <f>IF(A128&lt;=99,FLOOR(A128/5,1)+3,IF(A128&lt;=150,FLOOR(A128/10,1)+13,FLOOR((A128-150)/7,1)+28))</f>
        <v/>
      </c>
    </row>
    <row r="129" ht="15" customHeight="1" s="26">
      <c r="A129" s="37">
        <f>A128+1</f>
        <v/>
      </c>
      <c r="B129" s="37">
        <f>IF(A129&lt;=99,FLOOR(A129/5,1)+3,IF(A129&lt;=150,FLOOR(A129/10,1)+13,FLOOR((A129-150)/7,1)+28))</f>
        <v/>
      </c>
    </row>
    <row r="130" ht="15" customHeight="1" s="26">
      <c r="A130" s="37">
        <f>A129+1</f>
        <v/>
      </c>
      <c r="B130" s="37">
        <f>IF(A130&lt;=99,FLOOR(A130/5,1)+3,IF(A130&lt;=150,FLOOR(A130/10,1)+13,FLOOR((A130-150)/7,1)+28))</f>
        <v/>
      </c>
    </row>
    <row r="131" ht="15" customHeight="1" s="26">
      <c r="A131" s="37">
        <f>A130+1</f>
        <v/>
      </c>
      <c r="B131" s="37">
        <f>IF(A131&lt;=99,FLOOR(A131/5,1)+3,IF(A131&lt;=150,FLOOR(A131/10,1)+13,FLOOR((A131-150)/7,1)+28))</f>
        <v/>
      </c>
    </row>
    <row r="132" ht="15" customHeight="1" s="26">
      <c r="A132" s="37">
        <f>A131+1</f>
        <v/>
      </c>
      <c r="B132" s="37">
        <f>IF(A132&lt;=99,FLOOR(A132/5,1)+3,IF(A132&lt;=150,FLOOR(A132/10,1)+13,FLOOR((A132-150)/7,1)+28))</f>
        <v/>
      </c>
    </row>
    <row r="133" ht="15" customHeight="1" s="26">
      <c r="A133" s="37">
        <f>A132+1</f>
        <v/>
      </c>
      <c r="B133" s="37">
        <f>IF(A133&lt;=99,FLOOR(A133/5,1)+3,IF(A133&lt;=150,FLOOR(A133/10,1)+13,FLOOR((A133-150)/7,1)+28))</f>
        <v/>
      </c>
    </row>
    <row r="134" ht="15" customHeight="1" s="26">
      <c r="A134" s="37">
        <f>A133+1</f>
        <v/>
      </c>
      <c r="B134" s="37">
        <f>IF(A134&lt;=99,FLOOR(A134/5,1)+3,IF(A134&lt;=150,FLOOR(A134/10,1)+13,FLOOR((A134-150)/7,1)+28))</f>
        <v/>
      </c>
    </row>
    <row r="135" ht="15" customHeight="1" s="26">
      <c r="A135" s="37">
        <f>A134+1</f>
        <v/>
      </c>
      <c r="B135" s="37">
        <f>IF(A135&lt;=99,FLOOR(A135/5,1)+3,IF(A135&lt;=150,FLOOR(A135/10,1)+13,FLOOR((A135-150)/7,1)+28))</f>
        <v/>
      </c>
    </row>
    <row r="136" ht="15" customHeight="1" s="26">
      <c r="A136" s="37">
        <f>A135+1</f>
        <v/>
      </c>
      <c r="B136" s="37">
        <f>IF(A136&lt;=99,FLOOR(A136/5,1)+3,IF(A136&lt;=150,FLOOR(A136/10,1)+13,FLOOR((A136-150)/7,1)+28))</f>
        <v/>
      </c>
    </row>
    <row r="137" ht="15" customHeight="1" s="26">
      <c r="A137" s="37">
        <f>A136+1</f>
        <v/>
      </c>
      <c r="B137" s="37">
        <f>IF(A137&lt;=99,FLOOR(A137/5,1)+3,IF(A137&lt;=150,FLOOR(A137/10,1)+13,FLOOR((A137-150)/7,1)+28))</f>
        <v/>
      </c>
    </row>
    <row r="138" ht="15" customHeight="1" s="26">
      <c r="A138" s="37">
        <f>A137+1</f>
        <v/>
      </c>
      <c r="B138" s="37">
        <f>IF(A138&lt;=99,FLOOR(A138/5,1)+3,IF(A138&lt;=150,FLOOR(A138/10,1)+13,FLOOR((A138-150)/7,1)+28))</f>
        <v/>
      </c>
    </row>
    <row r="139" ht="15" customHeight="1" s="26">
      <c r="A139" s="37">
        <f>A138+1</f>
        <v/>
      </c>
      <c r="B139" s="37">
        <f>IF(A139&lt;=99,FLOOR(A139/5,1)+3,IF(A139&lt;=150,FLOOR(A139/10,1)+13,FLOOR((A139-150)/7,1)+28))</f>
        <v/>
      </c>
    </row>
    <row r="140" ht="15" customHeight="1" s="26">
      <c r="A140" s="37">
        <f>A139+1</f>
        <v/>
      </c>
      <c r="B140" s="37">
        <f>IF(A140&lt;=99,FLOOR(A140/5,1)+3,IF(A140&lt;=150,FLOOR(A140/10,1)+13,FLOOR((A140-150)/7,1)+28))</f>
        <v/>
      </c>
    </row>
    <row r="141" ht="15" customHeight="1" s="26">
      <c r="A141" s="37">
        <f>A140+1</f>
        <v/>
      </c>
      <c r="B141" s="37">
        <f>IF(A141&lt;=99,FLOOR(A141/5,1)+3,IF(A141&lt;=150,FLOOR(A141/10,1)+13,FLOOR((A141-150)/7,1)+28))</f>
        <v/>
      </c>
    </row>
    <row r="142" ht="15" customHeight="1" s="26">
      <c r="A142" s="37">
        <f>A141+1</f>
        <v/>
      </c>
      <c r="B142" s="37">
        <f>IF(A142&lt;=99,FLOOR(A142/5,1)+3,IF(A142&lt;=150,FLOOR(A142/10,1)+13,FLOOR((A142-150)/7,1)+28))</f>
        <v/>
      </c>
    </row>
    <row r="143" ht="15" customHeight="1" s="26">
      <c r="A143" s="37">
        <f>A142+1</f>
        <v/>
      </c>
      <c r="B143" s="37">
        <f>IF(A143&lt;=99,FLOOR(A143/5,1)+3,IF(A143&lt;=150,FLOOR(A143/10,1)+13,FLOOR((A143-150)/7,1)+28))</f>
        <v/>
      </c>
    </row>
    <row r="144" ht="15" customHeight="1" s="26">
      <c r="A144" s="37">
        <f>A143+1</f>
        <v/>
      </c>
      <c r="B144" s="37">
        <f>IF(A144&lt;=99,FLOOR(A144/5,1)+3,IF(A144&lt;=150,FLOOR(A144/10,1)+13,FLOOR((A144-150)/7,1)+28))</f>
        <v/>
      </c>
    </row>
    <row r="145" ht="15" customHeight="1" s="26">
      <c r="A145" s="37">
        <f>A144+1</f>
        <v/>
      </c>
      <c r="B145" s="37">
        <f>IF(A145&lt;=99,FLOOR(A145/5,1)+3,IF(A145&lt;=150,FLOOR(A145/10,1)+13,FLOOR((A145-150)/7,1)+28))</f>
        <v/>
      </c>
    </row>
    <row r="146" ht="15" customHeight="1" s="26">
      <c r="A146" s="37">
        <f>A145+1</f>
        <v/>
      </c>
      <c r="B146" s="37">
        <f>IF(A146&lt;=99,FLOOR(A146/5,1)+3,IF(A146&lt;=150,FLOOR(A146/10,1)+13,FLOOR((A146-150)/7,1)+28))</f>
        <v/>
      </c>
    </row>
    <row r="147" ht="15" customHeight="1" s="26">
      <c r="A147" s="37">
        <f>A146+1</f>
        <v/>
      </c>
      <c r="B147" s="37">
        <f>IF(A147&lt;=99,FLOOR(A147/5,1)+3,IF(A147&lt;=150,FLOOR(A147/10,1)+13,FLOOR((A147-150)/7,1)+28))</f>
        <v/>
      </c>
    </row>
    <row r="148" ht="15" customHeight="1" s="26">
      <c r="A148" s="37">
        <f>A147+1</f>
        <v/>
      </c>
      <c r="B148" s="37">
        <f>IF(A148&lt;=99,FLOOR(A148/5,1)+3,IF(A148&lt;=150,FLOOR(A148/10,1)+13,FLOOR((A148-150)/7,1)+28))</f>
        <v/>
      </c>
    </row>
    <row r="149" ht="15" customHeight="1" s="26">
      <c r="A149" s="37">
        <f>A148+1</f>
        <v/>
      </c>
      <c r="B149" s="37">
        <f>IF(A149&lt;=99,FLOOR(A149/5,1)+3,IF(A149&lt;=150,FLOOR(A149/10,1)+13,FLOOR((A149-150)/7,1)+28))</f>
        <v/>
      </c>
    </row>
    <row r="150" ht="15" customHeight="1" s="26">
      <c r="A150" s="37">
        <f>A149+1</f>
        <v/>
      </c>
      <c r="B150" s="37">
        <f>IF(A150&lt;=99,FLOOR(A150/5,1)+3,IF(A150&lt;=150,FLOOR(A150/10,1)+13,FLOOR((A150-150)/7,1)+28))</f>
        <v/>
      </c>
    </row>
    <row r="151" ht="15" customHeight="1" s="26">
      <c r="A151" s="37">
        <f>A150+1</f>
        <v/>
      </c>
      <c r="B151" s="37">
        <f>IF(A151&lt;=99,FLOOR(A151/5,1)+3,IF(A151&lt;=150,FLOOR(A151/10,1)+13,FLOOR((A151-150)/7,1)+28))</f>
        <v/>
      </c>
    </row>
    <row r="152" ht="15" customHeight="1" s="26">
      <c r="A152" s="37">
        <f>A151+1</f>
        <v/>
      </c>
      <c r="B152" s="37">
        <f>IF(A152&lt;=99,FLOOR(A152/5,1)+3,IF(A152&lt;=150,FLOOR(A152/10,1)+13,FLOOR((A152-150)/7,1)+28))</f>
        <v/>
      </c>
    </row>
    <row r="153" ht="15" customHeight="1" s="26">
      <c r="A153" s="37">
        <f>A152+1</f>
        <v/>
      </c>
      <c r="B153" s="37">
        <f>IF(A153&lt;=99,FLOOR(A153/5,1)+3,IF(A153&lt;=150,FLOOR(A153/10,1)+13,FLOOR((A153-150)/7,1)+28))</f>
        <v/>
      </c>
    </row>
    <row r="154" ht="15" customHeight="1" s="26">
      <c r="A154" s="37">
        <f>A153+1</f>
        <v/>
      </c>
      <c r="B154" s="37">
        <f>IF(A154&lt;=99,FLOOR(A154/5,1)+3,IF(A154&lt;=150,FLOOR(A154/10,1)+13,FLOOR((A154-150)/7,1)+28))</f>
        <v/>
      </c>
    </row>
    <row r="155" ht="15" customHeight="1" s="26">
      <c r="A155" s="37">
        <f>A154+1</f>
        <v/>
      </c>
      <c r="B155" s="37">
        <f>IF(A155&lt;=99,FLOOR(A155/5,1)+3,IF(A155&lt;=150,FLOOR(A155/10,1)+13,FLOOR((A155-150)/7,1)+28))</f>
        <v/>
      </c>
    </row>
    <row r="156" ht="15" customHeight="1" s="26">
      <c r="A156" s="37">
        <f>A155+1</f>
        <v/>
      </c>
      <c r="B156" s="37">
        <f>IF(A156&lt;=99,FLOOR(A156/5,1)+3,IF(A156&lt;=150,FLOOR(A156/10,1)+13,FLOOR((A156-150)/7,1)+28))</f>
        <v/>
      </c>
    </row>
    <row r="157" ht="15" customHeight="1" s="26">
      <c r="A157" s="37">
        <f>A156+1</f>
        <v/>
      </c>
      <c r="B157" s="37">
        <f>IF(A157&lt;=99,FLOOR(A157/5,1)+3,IF(A157&lt;=150,FLOOR(A157/10,1)+13,FLOOR((A157-150)/7,1)+28))</f>
        <v/>
      </c>
    </row>
    <row r="158" ht="15" customHeight="1" s="26">
      <c r="A158" s="37">
        <f>A157+1</f>
        <v/>
      </c>
      <c r="B158" s="37">
        <f>IF(A158&lt;=99,FLOOR(A158/5,1)+3,IF(A158&lt;=150,FLOOR(A158/10,1)+13,FLOOR((A158-150)/7,1)+28))</f>
        <v/>
      </c>
    </row>
    <row r="159" ht="15" customHeight="1" s="26">
      <c r="A159" s="37">
        <f>A158+1</f>
        <v/>
      </c>
      <c r="B159" s="37">
        <f>IF(A159&lt;=99,FLOOR(A159/5,1)+3,IF(A159&lt;=150,FLOOR(A159/10,1)+13,FLOOR((A159-150)/7,1)+28))</f>
        <v/>
      </c>
    </row>
    <row r="160" ht="15" customHeight="1" s="26">
      <c r="A160" s="37">
        <f>A159+1</f>
        <v/>
      </c>
      <c r="B160" s="37">
        <f>IF(A160&lt;=99,FLOOR(A160/5,1)+3,IF(A160&lt;=150,FLOOR(A160/10,1)+13,FLOOR((A160-150)/7,1)+28))</f>
        <v/>
      </c>
    </row>
    <row r="161" ht="15" customHeight="1" s="26">
      <c r="A161" s="37">
        <f>A160+1</f>
        <v/>
      </c>
      <c r="B161" s="37">
        <f>IF(A161&lt;=99,FLOOR(A161/5,1)+3,IF(A161&lt;=150,FLOOR(A161/10,1)+13,FLOOR((A161-150)/7,1)+28))</f>
        <v/>
      </c>
    </row>
    <row r="162" ht="15" customHeight="1" s="26">
      <c r="A162" s="37">
        <f>A161+1</f>
        <v/>
      </c>
      <c r="B162" s="37">
        <f>IF(A162&lt;=99,FLOOR(A162/5,1)+3,IF(A162&lt;=150,FLOOR(A162/10,1)+13,FLOOR((A162-150)/7,1)+28))</f>
        <v/>
      </c>
    </row>
    <row r="163" ht="15" customHeight="1" s="26">
      <c r="A163" s="37">
        <f>A162+1</f>
        <v/>
      </c>
      <c r="B163" s="37">
        <f>IF(A163&lt;=99,FLOOR(A163/5,1)+3,IF(A163&lt;=150,FLOOR(A163/10,1)+13,FLOOR((A163-150)/7,1)+28))</f>
        <v/>
      </c>
    </row>
    <row r="164" ht="15" customHeight="1" s="26">
      <c r="A164" s="37">
        <f>A163+1</f>
        <v/>
      </c>
      <c r="B164" s="37">
        <f>IF(A164&lt;=99,FLOOR(A164/5,1)+3,IF(A164&lt;=150,FLOOR(A164/10,1)+13,FLOOR((A164-150)/7,1)+28))</f>
        <v/>
      </c>
    </row>
    <row r="165" ht="15" customHeight="1" s="26">
      <c r="A165" s="37">
        <f>A164+1</f>
        <v/>
      </c>
      <c r="B165" s="37">
        <f>IF(A165&lt;=99,FLOOR(A165/5,1)+3,IF(A165&lt;=150,FLOOR(A165/10,1)+13,FLOOR((A165-150)/7,1)+28))</f>
        <v/>
      </c>
    </row>
    <row r="166" ht="15" customHeight="1" s="26">
      <c r="A166" s="37">
        <f>A165+1</f>
        <v/>
      </c>
      <c r="B166" s="37">
        <f>IF(A166&lt;=99,FLOOR(A166/5,1)+3,IF(A166&lt;=150,FLOOR(A166/10,1)+13,FLOOR((A166-150)/7,1)+28))</f>
        <v/>
      </c>
    </row>
    <row r="167" ht="15" customHeight="1" s="26">
      <c r="A167" s="37">
        <f>A166+1</f>
        <v/>
      </c>
      <c r="B167" s="37">
        <f>IF(A167&lt;=99,FLOOR(A167/5,1)+3,IF(A167&lt;=150,FLOOR(A167/10,1)+13,FLOOR((A167-150)/7,1)+28))</f>
        <v/>
      </c>
    </row>
    <row r="168" ht="15" customHeight="1" s="26">
      <c r="A168" s="37">
        <f>A167+1</f>
        <v/>
      </c>
      <c r="B168" s="37">
        <f>IF(A168&lt;=99,FLOOR(A168/5,1)+3,IF(A168&lt;=150,FLOOR(A168/10,1)+13,FLOOR((A168-150)/7,1)+28))</f>
        <v/>
      </c>
    </row>
    <row r="169" ht="15" customHeight="1" s="26">
      <c r="A169" s="37">
        <f>A168+1</f>
        <v/>
      </c>
      <c r="B169" s="37">
        <f>IF(A169&lt;=99,FLOOR(A169/5,1)+3,IF(A169&lt;=150,FLOOR(A169/10,1)+13,FLOOR((A169-150)/7,1)+28))</f>
        <v/>
      </c>
    </row>
    <row r="170" ht="15" customHeight="1" s="26">
      <c r="A170" s="37">
        <f>A169+1</f>
        <v/>
      </c>
      <c r="B170" s="37">
        <f>IF(A170&lt;=99,FLOOR(A170/5,1)+3,IF(A170&lt;=150,FLOOR(A170/10,1)+13,FLOOR((A170-150)/7,1)+28))</f>
        <v/>
      </c>
    </row>
    <row r="171" ht="15" customHeight="1" s="26">
      <c r="A171" s="37">
        <f>A170+1</f>
        <v/>
      </c>
      <c r="B171" s="37">
        <f>IF(A171&lt;=99,FLOOR(A171/5,1)+3,IF(A171&lt;=150,FLOOR(A171/10,1)+13,FLOOR((A171-150)/7,1)+28))</f>
        <v/>
      </c>
    </row>
    <row r="172" ht="15" customHeight="1" s="26">
      <c r="A172" s="37">
        <f>A171+1</f>
        <v/>
      </c>
      <c r="B172" s="37">
        <f>IF(A172&lt;=99,FLOOR(A172/5,1)+3,IF(A172&lt;=150,FLOOR(A172/10,1)+13,FLOOR((A172-150)/7,1)+28))</f>
        <v/>
      </c>
    </row>
    <row r="173" ht="15" customHeight="1" s="26">
      <c r="A173" s="37">
        <f>A172+1</f>
        <v/>
      </c>
      <c r="B173" s="37">
        <f>IF(A173&lt;=99,FLOOR(A173/5,1)+3,IF(A173&lt;=150,FLOOR(A173/10,1)+13,FLOOR((A173-150)/7,1)+28))</f>
        <v/>
      </c>
    </row>
    <row r="174" ht="15" customHeight="1" s="26">
      <c r="A174" s="37">
        <f>A173+1</f>
        <v/>
      </c>
      <c r="B174" s="37">
        <f>IF(A174&lt;=99,FLOOR(A174/5,1)+3,IF(A174&lt;=150,FLOOR(A174/10,1)+13,FLOOR((A174-150)/7,1)+28))</f>
        <v/>
      </c>
    </row>
    <row r="175" ht="15" customHeight="1" s="26">
      <c r="A175" s="37">
        <f>A174+1</f>
        <v/>
      </c>
      <c r="B175" s="37">
        <f>IF(A175&lt;=99,FLOOR(A175/5,1)+3,IF(A175&lt;=150,FLOOR(A175/10,1)+13,FLOOR((A175-150)/7,1)+28))</f>
        <v/>
      </c>
    </row>
    <row r="176" ht="15" customHeight="1" s="26">
      <c r="A176" s="37">
        <f>A175+1</f>
        <v/>
      </c>
      <c r="B176" s="37">
        <f>IF(A176&lt;=99,FLOOR(A176/5,1)+3,IF(A176&lt;=150,FLOOR(A176/10,1)+13,FLOOR((A176-150)/7,1)+28))</f>
        <v/>
      </c>
    </row>
    <row r="177" ht="15" customHeight="1" s="26">
      <c r="A177" s="37">
        <f>A176+1</f>
        <v/>
      </c>
      <c r="B177" s="37">
        <f>IF(A177&lt;=99,FLOOR(A177/5,1)+3,IF(A177&lt;=150,FLOOR(A177/10,1)+13,FLOOR((A177-150)/7,1)+28))</f>
        <v/>
      </c>
    </row>
    <row r="178" ht="15" customHeight="1" s="26">
      <c r="A178" s="37">
        <f>A177+1</f>
        <v/>
      </c>
      <c r="B178" s="37">
        <f>IF(A178&lt;=99,FLOOR(A178/5,1)+3,IF(A178&lt;=150,FLOOR(A178/10,1)+13,FLOOR((A178-150)/7,1)+28))</f>
        <v/>
      </c>
    </row>
    <row r="179" ht="15" customHeight="1" s="26">
      <c r="A179" s="37">
        <f>A178+1</f>
        <v/>
      </c>
      <c r="B179" s="37">
        <f>IF(A179&lt;=99,FLOOR(A179/5,1)+3,IF(A179&lt;=150,FLOOR(A179/10,1)+13,FLOOR((A179-150)/7,1)+28))</f>
        <v/>
      </c>
    </row>
    <row r="180" ht="15" customHeight="1" s="26">
      <c r="A180" s="37">
        <f>A179+1</f>
        <v/>
      </c>
      <c r="B180" s="37">
        <f>IF(A180&lt;=99,FLOOR(A180/5,1)+3,IF(A180&lt;=150,FLOOR(A180/10,1)+13,FLOOR((A180-150)/7,1)+28))</f>
        <v/>
      </c>
    </row>
    <row r="181" ht="15" customHeight="1" s="26">
      <c r="A181" s="37">
        <f>A180+1</f>
        <v/>
      </c>
      <c r="B181" s="37">
        <f>IF(A181&lt;=99,FLOOR(A181/5,1)+3,IF(A181&lt;=150,FLOOR(A181/10,1)+13,FLOOR((A181-150)/7,1)+28))</f>
        <v/>
      </c>
    </row>
    <row r="182" ht="15" customHeight="1" s="26">
      <c r="A182" s="37">
        <f>A181+1</f>
        <v/>
      </c>
      <c r="B182" s="37">
        <f>IF(A182&lt;=99,FLOOR(A182/5,1)+3,IF(A182&lt;=150,FLOOR(A182/10,1)+13,FLOOR((A182-150)/7,1)+28))</f>
        <v/>
      </c>
    </row>
    <row r="183" ht="15" customHeight="1" s="26">
      <c r="A183" s="37">
        <f>A182+1</f>
        <v/>
      </c>
      <c r="B183" s="37">
        <f>IF(A183&lt;=99,FLOOR(A183/5,1)+3,IF(A183&lt;=150,FLOOR(A183/10,1)+13,FLOOR((A183-150)/7,1)+28))</f>
        <v/>
      </c>
    </row>
    <row r="184" ht="15" customHeight="1" s="26">
      <c r="A184" s="37">
        <f>A183+1</f>
        <v/>
      </c>
      <c r="B184" s="37">
        <f>IF(A184&lt;=99,FLOOR(A184/5,1)+3,IF(A184&lt;=150,FLOOR(A184/10,1)+13,FLOOR((A184-150)/7,1)+28))</f>
        <v/>
      </c>
    </row>
    <row r="185" ht="15" customHeight="1" s="26">
      <c r="A185" s="37">
        <f>A184+1</f>
        <v/>
      </c>
      <c r="B185" s="37">
        <f>IF(A185&lt;=99,FLOOR(A185/5,1)+3,IF(A185&lt;=150,FLOOR(A185/10,1)+13,FLOOR((A185-150)/7,1)+28))</f>
        <v/>
      </c>
    </row>
    <row r="186" ht="15" customHeight="1" s="26">
      <c r="A186" s="37">
        <f>A185+1</f>
        <v/>
      </c>
      <c r="B186" s="37">
        <f>IF(A186&lt;=99,FLOOR(A186/5,1)+3,IF(A186&lt;=150,FLOOR(A186/10,1)+13,FLOOR((A186-150)/7,1)+28))</f>
        <v/>
      </c>
    </row>
    <row r="187" ht="15" customHeight="1" s="26">
      <c r="A187" s="37">
        <f>A186+1</f>
        <v/>
      </c>
      <c r="B187" s="37">
        <f>IF(A187&lt;=99,FLOOR(A187/5,1)+3,IF(A187&lt;=150,FLOOR(A187/10,1)+13,FLOOR((A187-150)/7,1)+28))</f>
        <v/>
      </c>
    </row>
    <row r="188" ht="15" customHeight="1" s="26">
      <c r="A188" s="37">
        <f>A187+1</f>
        <v/>
      </c>
      <c r="B188" s="37">
        <f>IF(A188&lt;=99,FLOOR(A188/5,1)+3,IF(A188&lt;=150,FLOOR(A188/10,1)+13,FLOOR((A188-150)/7,1)+28))</f>
        <v/>
      </c>
    </row>
    <row r="189" ht="15" customHeight="1" s="26">
      <c r="A189" s="37">
        <f>A188+1</f>
        <v/>
      </c>
      <c r="B189" s="37">
        <f>IF(A189&lt;=99,FLOOR(A189/5,1)+3,IF(A189&lt;=150,FLOOR(A189/10,1)+13,FLOOR((A189-150)/7,1)+28))</f>
        <v/>
      </c>
    </row>
    <row r="190" ht="15" customHeight="1" s="26">
      <c r="A190" s="37">
        <f>A189+1</f>
        <v/>
      </c>
      <c r="B190" s="37">
        <f>IF(A190&lt;=99,FLOOR(A190/5,1)+3,IF(A190&lt;=150,FLOOR(A190/10,1)+13,FLOOR((A190-150)/7,1)+28))</f>
        <v/>
      </c>
    </row>
    <row r="191" ht="15" customHeight="1" s="26">
      <c r="A191" s="37">
        <f>A190+1</f>
        <v/>
      </c>
      <c r="B191" s="37">
        <f>IF(A191&lt;=99,FLOOR(A191/5,1)+3,IF(A191&lt;=150,FLOOR(A191/10,1)+13,FLOOR((A191-150)/7,1)+28))</f>
        <v/>
      </c>
    </row>
    <row r="192" ht="15" customHeight="1" s="26">
      <c r="A192" s="37">
        <f>A191+1</f>
        <v/>
      </c>
      <c r="B192" s="37">
        <f>IF(A192&lt;=99,FLOOR(A192/5,1)+3,IF(A192&lt;=150,FLOOR(A192/10,1)+13,FLOOR((A192-150)/7,1)+28))</f>
        <v/>
      </c>
    </row>
    <row r="193" ht="15" customHeight="1" s="26">
      <c r="A193" s="37">
        <f>A192+1</f>
        <v/>
      </c>
      <c r="B193" s="37">
        <f>IF(A193&lt;=99,FLOOR(A193/5,1)+3,IF(A193&lt;=150,FLOOR(A193/10,1)+13,FLOOR((A193-150)/7,1)+28))</f>
        <v/>
      </c>
    </row>
    <row r="194" ht="15" customHeight="1" s="26">
      <c r="A194" s="37">
        <f>A193+1</f>
        <v/>
      </c>
      <c r="B194" s="37">
        <f>IF(A194&lt;=99,FLOOR(A194/5,1)+3,IF(A194&lt;=150,FLOOR(A194/10,1)+13,FLOOR((A194-150)/7,1)+28))</f>
        <v/>
      </c>
    </row>
    <row r="195" ht="15" customHeight="1" s="26">
      <c r="A195" s="37">
        <f>A194+1</f>
        <v/>
      </c>
      <c r="B195" s="37">
        <f>IF(A195&lt;=99,FLOOR(A195/5,1)+3,IF(A195&lt;=150,FLOOR(A195/10,1)+13,FLOOR((A195-150)/7,1)+28))</f>
        <v/>
      </c>
    </row>
    <row r="196" ht="15" customHeight="1" s="26">
      <c r="A196" s="37">
        <f>A195+1</f>
        <v/>
      </c>
      <c r="B196" s="37">
        <f>IF(A196&lt;=99,FLOOR(A196/5,1)+3,IF(A196&lt;=150,FLOOR(A196/10,1)+13,FLOOR((A196-150)/7,1)+28))</f>
        <v/>
      </c>
    </row>
    <row r="197" ht="15" customHeight="1" s="26">
      <c r="A197" s="37">
        <f>A196+1</f>
        <v/>
      </c>
      <c r="B197" s="37">
        <f>IF(A197&lt;=99,FLOOR(A197/5,1)+3,IF(A197&lt;=150,FLOOR(A197/10,1)+13,FLOOR((A197-150)/7,1)+28))</f>
        <v/>
      </c>
    </row>
    <row r="198" ht="15" customHeight="1" s="26">
      <c r="A198" s="37">
        <f>A197+1</f>
        <v/>
      </c>
      <c r="B198" s="37">
        <f>IF(A198&lt;=99,FLOOR(A198/5,1)+3,IF(A198&lt;=150,FLOOR(A198/10,1)+13,FLOOR((A198-150)/7,1)+28))</f>
        <v/>
      </c>
    </row>
    <row r="199" ht="15" customHeight="1" s="26">
      <c r="A199" s="37">
        <f>A198+1</f>
        <v/>
      </c>
      <c r="B199" s="37">
        <f>IF(A199&lt;=99,FLOOR(A199/5,1)+3,IF(A199&lt;=150,FLOOR(A199/10,1)+13,FLOOR((A199-150)/7,1)+28))</f>
        <v/>
      </c>
    </row>
    <row r="200" ht="15" customHeight="1" s="26">
      <c r="A200" s="37">
        <f>A199+1</f>
        <v/>
      </c>
      <c r="B200" s="37">
        <f>IF(A200&lt;=99,FLOOR(A200/5,1)+3,IF(A200&lt;=150,FLOOR(A200/10,1)+13,FLOOR((A200-150)/7,1)+28))</f>
        <v/>
      </c>
    </row>
    <row r="201" ht="15" customHeight="1" s="26">
      <c r="A201" s="37">
        <f>A200+1</f>
        <v/>
      </c>
      <c r="B201" s="37">
        <f>IF(A201&lt;=99,FLOOR(A201/5,1)+3,IF(A201&lt;=150,FLOOR(A201/10,1)+13,FLOOR((A201-150)/7,1)+28))</f>
        <v/>
      </c>
    </row>
    <row r="202" ht="15" customHeight="1" s="26">
      <c r="A202" s="37">
        <f>A201+1</f>
        <v/>
      </c>
      <c r="B202" s="37">
        <f>IF(A202&lt;=99,FLOOR(A202/5,1)+3,IF(A202&lt;=150,FLOOR(A202/10,1)+13,FLOOR((A202-150)/7,1)+28))</f>
        <v/>
      </c>
    </row>
    <row r="203" ht="15" customHeight="1" s="26">
      <c r="A203" s="37">
        <f>A202+1</f>
        <v/>
      </c>
      <c r="B203" s="37">
        <f>IF(A203&lt;=99,FLOOR(A203/5,1)+3,IF(A203&lt;=150,FLOOR(A203/10,1)+13,FLOOR((A203-150)/7,1)+28))</f>
        <v/>
      </c>
    </row>
    <row r="204" ht="15" customHeight="1" s="26">
      <c r="A204" s="37">
        <f>A203+1</f>
        <v/>
      </c>
      <c r="B204" s="37">
        <f>IF(A204&lt;=99,FLOOR(A204/5,1)+3,IF(A204&lt;=150,FLOOR(A204/10,1)+13,FLOOR((A204-150)/7,1)+28))</f>
        <v/>
      </c>
    </row>
    <row r="205" ht="15" customHeight="1" s="26">
      <c r="A205" s="37">
        <f>A204+1</f>
        <v/>
      </c>
      <c r="B205" s="37">
        <f>IF(A205&lt;=99,FLOOR(A205/5,1)+3,IF(A205&lt;=150,FLOOR(A205/10,1)+13,FLOOR((A205-150)/7,1)+28))</f>
        <v/>
      </c>
    </row>
    <row r="206" ht="15" customHeight="1" s="26">
      <c r="A206" s="37">
        <f>A205+1</f>
        <v/>
      </c>
      <c r="B206" s="37">
        <f>IF(A206&lt;=99,FLOOR(A206/5,1)+3,IF(A206&lt;=150,FLOOR(A206/10,1)+13,FLOOR((A206-150)/7,1)+28))</f>
        <v/>
      </c>
    </row>
    <row r="207" ht="15" customHeight="1" s="26">
      <c r="A207" s="37">
        <f>A206+1</f>
        <v/>
      </c>
      <c r="B207" s="37">
        <f>IF(A207&lt;=99,FLOOR(A207/5,1)+3,IF(A207&lt;=150,FLOOR(A207/10,1)+13,FLOOR((A207-150)/7,1)+28))</f>
        <v/>
      </c>
    </row>
    <row r="208" ht="15" customHeight="1" s="26">
      <c r="A208" s="37">
        <f>A207+1</f>
        <v/>
      </c>
      <c r="B208" s="37">
        <f>IF(A208&lt;=99,FLOOR(A208/5,1)+3,IF(A208&lt;=150,FLOOR(A208/10,1)+13,FLOOR((A208-150)/7,1)+28))</f>
        <v/>
      </c>
    </row>
    <row r="209" ht="15" customHeight="1" s="26">
      <c r="A209" s="37">
        <f>A208+1</f>
        <v/>
      </c>
      <c r="B209" s="37">
        <f>IF(A209&lt;=99,FLOOR(A209/5,1)+3,IF(A209&lt;=150,FLOOR(A209/10,1)+13,FLOOR((A209-150)/7,1)+28))</f>
        <v/>
      </c>
    </row>
    <row r="210" ht="15" customHeight="1" s="26">
      <c r="A210" s="37">
        <f>A209+1</f>
        <v/>
      </c>
      <c r="B210" s="37">
        <f>IF(A210&lt;=99,FLOOR(A210/5,1)+3,IF(A210&lt;=150,FLOOR(A210/10,1)+13,FLOOR((A210-150)/7,1)+28))</f>
        <v/>
      </c>
    </row>
    <row r="211" ht="15" customHeight="1" s="26">
      <c r="A211" s="37">
        <f>A210+1</f>
        <v/>
      </c>
      <c r="B211" s="37">
        <f>IF(A211&lt;=99,FLOOR(A211/5,1)+3,IF(A211&lt;=150,FLOOR(A211/10,1)+13,FLOOR((A211-150)/7,1)+28))</f>
        <v/>
      </c>
    </row>
    <row r="212" ht="15" customHeight="1" s="26">
      <c r="A212" s="37">
        <f>A211+1</f>
        <v/>
      </c>
      <c r="B212" s="37">
        <f>IF(A212&lt;=99,FLOOR(A212/5,1)+3,IF(A212&lt;=150,FLOOR(A212/10,1)+13,FLOOR((A212-150)/7,1)+28))</f>
        <v/>
      </c>
    </row>
    <row r="213" ht="15" customHeight="1" s="26">
      <c r="A213" s="37">
        <f>A212+1</f>
        <v/>
      </c>
      <c r="B213" s="37">
        <f>IF(A213&lt;=99,FLOOR(A213/5,1)+3,IF(A213&lt;=150,FLOOR(A213/10,1)+13,FLOOR((A213-150)/7,1)+28))</f>
        <v/>
      </c>
    </row>
    <row r="214" ht="15" customHeight="1" s="26">
      <c r="A214" s="37">
        <f>A213+1</f>
        <v/>
      </c>
      <c r="B214" s="37">
        <f>IF(A214&lt;=99,FLOOR(A214/5,1)+3,IF(A214&lt;=150,FLOOR(A214/10,1)+13,FLOOR((A214-150)/7,1)+28))</f>
        <v/>
      </c>
    </row>
    <row r="215" ht="15" customHeight="1" s="26">
      <c r="A215" s="37">
        <f>A214+1</f>
        <v/>
      </c>
      <c r="B215" s="37">
        <f>IF(A215&lt;=99,FLOOR(A215/5,1)+3,IF(A215&lt;=150,FLOOR(A215/10,1)+13,FLOOR((A215-150)/7,1)+28))</f>
        <v/>
      </c>
    </row>
    <row r="216" ht="15" customHeight="1" s="26">
      <c r="A216" s="37">
        <f>A215+1</f>
        <v/>
      </c>
      <c r="B216" s="37">
        <f>IF(A216&lt;=99,FLOOR(A216/5,1)+3,IF(A216&lt;=150,FLOOR(A216/10,1)+13,FLOOR((A216-150)/7,1)+28))</f>
        <v/>
      </c>
    </row>
    <row r="217" ht="15" customHeight="1" s="26">
      <c r="A217" s="37">
        <f>A216+1</f>
        <v/>
      </c>
      <c r="B217" s="37">
        <f>IF(A217&lt;=99,FLOOR(A217/5,1)+3,IF(A217&lt;=150,FLOOR(A217/10,1)+13,FLOOR((A217-150)/7,1)+28))</f>
        <v/>
      </c>
    </row>
    <row r="218" ht="15" customHeight="1" s="26">
      <c r="A218" s="37">
        <f>A217+1</f>
        <v/>
      </c>
      <c r="B218" s="37">
        <f>IF(A218&lt;=99,FLOOR(A218/5,1)+3,IF(A218&lt;=150,FLOOR(A218/10,1)+13,FLOOR((A218-150)/7,1)+28))</f>
        <v/>
      </c>
    </row>
    <row r="219" ht="15" customHeight="1" s="26">
      <c r="A219" s="37">
        <f>A218+1</f>
        <v/>
      </c>
      <c r="B219" s="37">
        <f>IF(A219&lt;=99,FLOOR(A219/5,1)+3,IF(A219&lt;=150,FLOOR(A219/10,1)+13,FLOOR((A219-150)/7,1)+28))</f>
        <v/>
      </c>
    </row>
    <row r="220" ht="15" customHeight="1" s="26">
      <c r="A220" s="37">
        <f>A219+1</f>
        <v/>
      </c>
      <c r="B220" s="37">
        <f>IF(A220&lt;=99,FLOOR(A220/5,1)+3,IF(A220&lt;=150,FLOOR(A220/10,1)+13,FLOOR((A220-150)/7,1)+28))</f>
        <v/>
      </c>
    </row>
    <row r="221" ht="15" customHeight="1" s="26">
      <c r="A221" s="37">
        <f>A220+1</f>
        <v/>
      </c>
      <c r="B221" s="37">
        <f>IF(A221&lt;=99,FLOOR(A221/5,1)+3,IF(A221&lt;=150,FLOOR(A221/10,1)+13,FLOOR((A221-150)/7,1)+28))</f>
        <v/>
      </c>
    </row>
    <row r="222" ht="15" customHeight="1" s="26">
      <c r="A222" s="37">
        <f>A221+1</f>
        <v/>
      </c>
      <c r="B222" s="37">
        <f>IF(A222&lt;=99,FLOOR(A222/5,1)+3,IF(A222&lt;=150,FLOOR(A222/10,1)+13,FLOOR((A222-150)/7,1)+28))</f>
        <v/>
      </c>
    </row>
    <row r="223" ht="15" customHeight="1" s="26">
      <c r="A223" s="37">
        <f>A222+1</f>
        <v/>
      </c>
      <c r="B223" s="37">
        <f>IF(A223&lt;=99,FLOOR(A223/5,1)+3,IF(A223&lt;=150,FLOOR(A223/10,1)+13,FLOOR((A223-150)/7,1)+28))</f>
        <v/>
      </c>
    </row>
    <row r="224" ht="15" customHeight="1" s="26">
      <c r="A224" s="37">
        <f>A223+1</f>
        <v/>
      </c>
      <c r="B224" s="37">
        <f>IF(A224&lt;=99,FLOOR(A224/5,1)+3,IF(A224&lt;=150,FLOOR(A224/10,1)+13,FLOOR((A224-150)/7,1)+28))</f>
        <v/>
      </c>
    </row>
    <row r="225" ht="15" customHeight="1" s="26">
      <c r="A225" s="37">
        <f>A224+1</f>
        <v/>
      </c>
      <c r="B225" s="37">
        <f>IF(A225&lt;=99,FLOOR(A225/5,1)+3,IF(A225&lt;=150,FLOOR(A225/10,1)+13,FLOOR((A225-150)/7,1)+28))</f>
        <v/>
      </c>
    </row>
    <row r="226" ht="15" customHeight="1" s="26">
      <c r="A226" s="37">
        <f>A225+1</f>
        <v/>
      </c>
      <c r="B226" s="37">
        <f>IF(A226&lt;=99,FLOOR(A226/5,1)+3,IF(A226&lt;=150,FLOOR(A226/10,1)+13,FLOOR((A226-150)/7,1)+28))</f>
        <v/>
      </c>
    </row>
    <row r="227" ht="15" customHeight="1" s="26">
      <c r="A227" s="37">
        <f>A226+1</f>
        <v/>
      </c>
      <c r="B227" s="37">
        <f>IF(A227&lt;=99,FLOOR(A227/5,1)+3,IF(A227&lt;=150,FLOOR(A227/10,1)+13,FLOOR((A227-150)/7,1)+28))</f>
        <v/>
      </c>
    </row>
    <row r="228" ht="15" customHeight="1" s="26">
      <c r="A228" s="37">
        <f>A227+1</f>
        <v/>
      </c>
      <c r="B228" s="37">
        <f>IF(A228&lt;=99,FLOOR(A228/5,1)+3,IF(A228&lt;=150,FLOOR(A228/10,1)+13,FLOOR((A228-150)/7,1)+28))</f>
        <v/>
      </c>
    </row>
    <row r="229" ht="15" customHeight="1" s="26">
      <c r="A229" s="37">
        <f>A228+1</f>
        <v/>
      </c>
      <c r="B229" s="37">
        <f>IF(A229&lt;=99,FLOOR(A229/5,1)+3,IF(A229&lt;=150,FLOOR(A229/10,1)+13,FLOOR((A229-150)/7,1)+28))</f>
        <v/>
      </c>
    </row>
    <row r="230" ht="15" customHeight="1" s="26">
      <c r="A230" s="37">
        <f>A229+1</f>
        <v/>
      </c>
      <c r="B230" s="37">
        <f>IF(A230&lt;=99,FLOOR(A230/5,1)+3,IF(A230&lt;=150,FLOOR(A230/10,1)+13,FLOOR((A230-150)/7,1)+28))</f>
        <v/>
      </c>
    </row>
    <row r="231" ht="15" customHeight="1" s="26">
      <c r="A231" s="37">
        <f>A230+1</f>
        <v/>
      </c>
      <c r="B231" s="37">
        <f>IF(A231&lt;=99,FLOOR(A231/5,1)+3,IF(A231&lt;=150,FLOOR(A231/10,1)+13,FLOOR((A231-150)/7,1)+28))</f>
        <v/>
      </c>
    </row>
    <row r="232" ht="15" customHeight="1" s="26">
      <c r="A232" s="37">
        <f>A231+1</f>
        <v/>
      </c>
      <c r="B232" s="37">
        <f>IF(A232&lt;=99,FLOOR(A232/5,1)+3,IF(A232&lt;=150,FLOOR(A232/10,1)+13,FLOOR((A232-150)/7,1)+28))</f>
        <v/>
      </c>
    </row>
    <row r="233" ht="15" customHeight="1" s="26">
      <c r="A233" s="37">
        <f>A232+1</f>
        <v/>
      </c>
      <c r="B233" s="37">
        <f>IF(A233&lt;=99,FLOOR(A233/5,1)+3,IF(A233&lt;=150,FLOOR(A233/10,1)+13,FLOOR((A233-150)/7,1)+28))</f>
        <v/>
      </c>
    </row>
    <row r="234" ht="15" customHeight="1" s="26">
      <c r="A234" s="37">
        <f>A233+1</f>
        <v/>
      </c>
      <c r="B234" s="37">
        <f>IF(A234&lt;=99,FLOOR(A234/5,1)+3,IF(A234&lt;=150,FLOOR(A234/10,1)+13,FLOOR((A234-150)/7,1)+28))</f>
        <v/>
      </c>
    </row>
    <row r="235" ht="15" customHeight="1" s="26">
      <c r="A235" s="37">
        <f>A234+1</f>
        <v/>
      </c>
      <c r="B235" s="37">
        <f>IF(A235&lt;=99,FLOOR(A235/5,1)+3,IF(A235&lt;=150,FLOOR(A235/10,1)+13,FLOOR((A235-150)/7,1)+28))</f>
        <v/>
      </c>
    </row>
    <row r="236" ht="15" customHeight="1" s="26">
      <c r="A236" s="37">
        <f>A235+1</f>
        <v/>
      </c>
      <c r="B236" s="37">
        <f>IF(A236&lt;=99,FLOOR(A236/5,1)+3,IF(A236&lt;=150,FLOOR(A236/10,1)+13,FLOOR((A236-150)/7,1)+28))</f>
        <v/>
      </c>
    </row>
    <row r="237" ht="15" customHeight="1" s="26">
      <c r="A237" s="37">
        <f>A236+1</f>
        <v/>
      </c>
      <c r="B237" s="37">
        <f>IF(A237&lt;=99,FLOOR(A237/5,1)+3,IF(A237&lt;=150,FLOOR(A237/10,1)+13,FLOOR((A237-150)/7,1)+28))</f>
        <v/>
      </c>
    </row>
    <row r="238" ht="15" customHeight="1" s="26">
      <c r="A238" s="37">
        <f>A237+1</f>
        <v/>
      </c>
      <c r="B238" s="37">
        <f>IF(A238&lt;=99,FLOOR(A238/5,1)+3,IF(A238&lt;=150,FLOOR(A238/10,1)+13,FLOOR((A238-150)/7,1)+28))</f>
        <v/>
      </c>
    </row>
    <row r="239" ht="15" customHeight="1" s="26">
      <c r="A239" s="37">
        <f>A238+1</f>
        <v/>
      </c>
      <c r="B239" s="37">
        <f>IF(A239&lt;=99,FLOOR(A239/5,1)+3,IF(A239&lt;=150,FLOOR(A239/10,1)+13,FLOOR((A239-150)/7,1)+28))</f>
        <v/>
      </c>
    </row>
    <row r="240" ht="15" customHeight="1" s="26">
      <c r="A240" s="37">
        <f>A239+1</f>
        <v/>
      </c>
      <c r="B240" s="37">
        <f>IF(A240&lt;=99,FLOOR(A240/5,1)+3,IF(A240&lt;=150,FLOOR(A240/10,1)+13,FLOOR((A240-150)/7,1)+28))</f>
        <v/>
      </c>
    </row>
    <row r="241" ht="15" customHeight="1" s="26">
      <c r="A241" s="37">
        <f>A240+1</f>
        <v/>
      </c>
      <c r="B241" s="37">
        <f>IF(A241&lt;=99,FLOOR(A241/5,1)+3,IF(A241&lt;=150,FLOOR(A241/10,1)+13,FLOOR((A241-150)/7,1)+28))</f>
        <v/>
      </c>
    </row>
    <row r="242" ht="15" customHeight="1" s="26">
      <c r="A242" s="37">
        <f>A241+1</f>
        <v/>
      </c>
      <c r="B242" s="37">
        <f>IF(A242&lt;=99,FLOOR(A242/5,1)+3,IF(A242&lt;=150,FLOOR(A242/10,1)+13,FLOOR((A242-150)/7,1)+28))</f>
        <v/>
      </c>
    </row>
    <row r="243" ht="15" customHeight="1" s="26">
      <c r="A243" s="37">
        <f>A242+1</f>
        <v/>
      </c>
      <c r="B243" s="37">
        <f>IF(A243&lt;=99,FLOOR(A243/5,1)+3,IF(A243&lt;=150,FLOOR(A243/10,1)+13,FLOOR((A243-150)/7,1)+28))</f>
        <v/>
      </c>
    </row>
    <row r="244" ht="15" customHeight="1" s="26">
      <c r="A244" s="37">
        <f>A243+1</f>
        <v/>
      </c>
      <c r="B244" s="37">
        <f>IF(A244&lt;=99,FLOOR(A244/5,1)+3,IF(A244&lt;=150,FLOOR(A244/10,1)+13,FLOOR((A244-150)/7,1)+28))</f>
        <v/>
      </c>
    </row>
    <row r="245" ht="15" customHeight="1" s="26">
      <c r="A245" s="37">
        <f>A244+1</f>
        <v/>
      </c>
      <c r="B245" s="37">
        <f>IF(A245&lt;=99,FLOOR(A245/5,1)+3,IF(A245&lt;=150,FLOOR(A245/10,1)+13,FLOOR((A245-150)/7,1)+28))</f>
        <v/>
      </c>
    </row>
    <row r="246" ht="15" customHeight="1" s="26">
      <c r="A246" s="37">
        <f>A245+1</f>
        <v/>
      </c>
      <c r="B246" s="37">
        <f>IF(A246&lt;=99,FLOOR(A246/5,1)+3,IF(A246&lt;=150,FLOOR(A246/10,1)+13,FLOOR((A246-150)/7,1)+28))</f>
        <v/>
      </c>
    </row>
    <row r="247" ht="15" customHeight="1" s="26">
      <c r="A247" s="37">
        <f>A246+1</f>
        <v/>
      </c>
      <c r="B247" s="37">
        <f>IF(A247&lt;=99,FLOOR(A247/5,1)+3,IF(A247&lt;=150,FLOOR(A247/10,1)+13,FLOOR((A247-150)/7,1)+28))</f>
        <v/>
      </c>
    </row>
    <row r="248" ht="15" customHeight="1" s="26">
      <c r="A248" s="37">
        <f>A247+1</f>
        <v/>
      </c>
      <c r="B248" s="37">
        <f>IF(A248&lt;=99,FLOOR(A248/5,1)+3,IF(A248&lt;=150,FLOOR(A248/10,1)+13,FLOOR((A248-150)/7,1)+28))</f>
        <v/>
      </c>
    </row>
    <row r="249" ht="15" customHeight="1" s="26">
      <c r="A249" s="37">
        <f>A248+1</f>
        <v/>
      </c>
      <c r="B249" s="37">
        <f>IF(A249&lt;=99,FLOOR(A249/5,1)+3,IF(A249&lt;=150,FLOOR(A249/10,1)+13,FLOOR((A249-150)/7,1)+28))</f>
        <v/>
      </c>
    </row>
    <row r="250" ht="15" customHeight="1" s="26">
      <c r="A250" s="37">
        <f>A249+1</f>
        <v/>
      </c>
      <c r="B250" s="37">
        <f>IF(A250&lt;=99,FLOOR(A250/5,1)+3,IF(A250&lt;=150,FLOOR(A250/10,1)+13,FLOOR((A250-150)/7,1)+28))</f>
        <v/>
      </c>
    </row>
    <row r="251" ht="15" customHeight="1" s="26">
      <c r="A251" s="37">
        <f>A250+1</f>
        <v/>
      </c>
      <c r="B251" s="37">
        <f>IF(A251&lt;=99,FLOOR(A251/5,1)+3,IF(A251&lt;=150,FLOOR(A251/10,1)+13,FLOOR((A251-150)/7,1)+28))</f>
        <v/>
      </c>
    </row>
    <row r="252" ht="15" customHeight="1" s="26">
      <c r="A252" s="37">
        <f>A251+1</f>
        <v/>
      </c>
      <c r="B252" s="37">
        <f>IF(A252&lt;=99,FLOOR(A252/5,1)+3,IF(A252&lt;=150,FLOOR(A252/10,1)+13,FLOOR((A252-150)/7,1)+28))</f>
        <v/>
      </c>
    </row>
    <row r="253" ht="15" customHeight="1" s="26">
      <c r="A253" s="37">
        <f>A252+1</f>
        <v/>
      </c>
      <c r="B253" s="37">
        <f>IF(A253&lt;=99,FLOOR(A253/5,1)+3,IF(A253&lt;=150,FLOOR(A253/10,1)+13,FLOOR((A253-150)/7,1)+28))</f>
        <v/>
      </c>
    </row>
    <row r="254" ht="15" customHeight="1" s="26">
      <c r="A254" s="37">
        <f>A253+1</f>
        <v/>
      </c>
      <c r="B254" s="37">
        <f>IF(A254&lt;=99,FLOOR(A254/5,1)+3,IF(A254&lt;=150,FLOOR(A254/10,1)+13,FLOOR((A254-150)/7,1)+28))</f>
        <v/>
      </c>
    </row>
    <row r="255" ht="15" customHeight="1" s="26">
      <c r="A255" s="37">
        <f>A254+1</f>
        <v/>
      </c>
      <c r="B255" s="37">
        <f>IF(A255&lt;=99,FLOOR(A255/5,1)+3,IF(A255&lt;=150,FLOOR(A255/10,1)+13,FLOOR((A255-150)/7,1)+28))</f>
        <v/>
      </c>
    </row>
    <row r="256" ht="15" customHeight="1" s="26">
      <c r="A256" s="37">
        <f>A255+1</f>
        <v/>
      </c>
      <c r="B256" s="37">
        <f>IF(A256&lt;=99,FLOOR(A256/5,1)+3,IF(A256&lt;=150,FLOOR(A256/10,1)+13,FLOOR((A256-150)/7,1)+28))</f>
        <v/>
      </c>
    </row>
    <row r="257" ht="15" customHeight="1" s="26">
      <c r="A257" s="37">
        <f>A256+1</f>
        <v/>
      </c>
      <c r="B257" s="37">
        <f>IF(A257&lt;=99,FLOOR(A257/5,1)+3,IF(A257&lt;=150,FLOOR(A257/10,1)+13,FLOOR((A257-150)/7,1)+28))</f>
        <v/>
      </c>
    </row>
    <row r="258" ht="15" customHeight="1" s="26">
      <c r="A258" s="37">
        <f>A257+1</f>
        <v/>
      </c>
      <c r="B258" s="37">
        <f>IF(A258&lt;=99,FLOOR(A258/5,1)+3,IF(A258&lt;=150,FLOOR(A258/10,1)+13,FLOOR((A258-150)/7,1)+28))</f>
        <v/>
      </c>
    </row>
    <row r="259" ht="15" customHeight="1" s="26">
      <c r="A259" s="37">
        <f>A258+1</f>
        <v/>
      </c>
      <c r="B259" s="37">
        <f>IF(A259&lt;=99,FLOOR(A259/5,1)+3,IF(A259&lt;=150,FLOOR(A259/10,1)+13,FLOOR((A259-150)/7,1)+28))</f>
        <v/>
      </c>
    </row>
    <row r="260" ht="15" customHeight="1" s="26">
      <c r="A260" s="37">
        <f>A259+1</f>
        <v/>
      </c>
      <c r="B260" s="37">
        <f>IF(A260&lt;=99,FLOOR(A260/5,1)+3,IF(A260&lt;=150,FLOOR(A260/10,1)+13,FLOOR((A260-150)/7,1)+28))</f>
        <v/>
      </c>
    </row>
    <row r="261" ht="15" customHeight="1" s="26">
      <c r="A261" s="37">
        <f>A260+1</f>
        <v/>
      </c>
      <c r="B261" s="37">
        <f>IF(A261&lt;=99,FLOOR(A261/5,1)+3,IF(A261&lt;=150,FLOOR(A261/10,1)+13,FLOOR((A261-150)/7,1)+28))</f>
        <v/>
      </c>
    </row>
    <row r="262" ht="15" customHeight="1" s="26">
      <c r="A262" s="37">
        <f>A261+1</f>
        <v/>
      </c>
      <c r="B262" s="37">
        <f>IF(A262&lt;=99,FLOOR(A262/5,1)+3,IF(A262&lt;=150,FLOOR(A262/10,1)+13,FLOOR((A262-150)/7,1)+28))</f>
        <v/>
      </c>
    </row>
    <row r="263" ht="15" customHeight="1" s="26">
      <c r="A263" s="37">
        <f>A262+1</f>
        <v/>
      </c>
      <c r="B263" s="37">
        <f>IF(A263&lt;=99,FLOOR(A263/5,1)+3,IF(A263&lt;=150,FLOOR(A263/10,1)+13,FLOOR((A263-150)/7,1)+28))</f>
        <v/>
      </c>
    </row>
    <row r="264" ht="15" customHeight="1" s="26">
      <c r="A264" s="37">
        <f>A263+1</f>
        <v/>
      </c>
      <c r="B264" s="37">
        <f>IF(A264&lt;=99,FLOOR(A264/5,1)+3,IF(A264&lt;=150,FLOOR(A264/10,1)+13,FLOOR((A264-150)/7,1)+28))</f>
        <v/>
      </c>
    </row>
    <row r="265" ht="15" customHeight="1" s="26">
      <c r="A265" s="37">
        <f>A264+1</f>
        <v/>
      </c>
      <c r="B265" s="37">
        <f>IF(A265&lt;=99,FLOOR(A265/5,1)+3,IF(A265&lt;=150,FLOOR(A265/10,1)+13,FLOOR((A265-150)/7,1)+28))</f>
        <v/>
      </c>
    </row>
    <row r="266" ht="15" customHeight="1" s="26">
      <c r="A266" s="37">
        <f>A265+1</f>
        <v/>
      </c>
      <c r="B266" s="37">
        <f>IF(A266&lt;=99,FLOOR(A266/5,1)+3,IF(A266&lt;=150,FLOOR(A266/10,1)+13,FLOOR((A266-150)/7,1)+28))</f>
        <v/>
      </c>
    </row>
    <row r="267" ht="15" customHeight="1" s="26">
      <c r="A267" s="37">
        <f>A266+1</f>
        <v/>
      </c>
      <c r="B267" s="37">
        <f>IF(A267&lt;=99,FLOOR(A267/5,1)+3,IF(A267&lt;=150,FLOOR(A267/10,1)+13,FLOOR((A267-150)/7,1)+28))</f>
        <v/>
      </c>
    </row>
    <row r="268" ht="15" customHeight="1" s="26">
      <c r="A268" s="37">
        <f>A267+1</f>
        <v/>
      </c>
      <c r="B268" s="37">
        <f>IF(A268&lt;=99,FLOOR(A268/5,1)+3,IF(A268&lt;=150,FLOOR(A268/10,1)+13,FLOOR((A268-150)/7,1)+28))</f>
        <v/>
      </c>
    </row>
    <row r="269" ht="15" customHeight="1" s="26">
      <c r="A269" s="37">
        <f>A268+1</f>
        <v/>
      </c>
      <c r="B269" s="37">
        <f>IF(A269&lt;=99,FLOOR(A269/5,1)+3,IF(A269&lt;=150,FLOOR(A269/10,1)+13,FLOOR((A269-150)/7,1)+28))</f>
        <v/>
      </c>
    </row>
    <row r="270" ht="15" customHeight="1" s="26">
      <c r="A270" s="37">
        <f>A269+1</f>
        <v/>
      </c>
      <c r="B270" s="37">
        <f>IF(A270&lt;=99,FLOOR(A270/5,1)+3,IF(A270&lt;=150,FLOOR(A270/10,1)+13,FLOOR((A270-150)/7,1)+28))</f>
        <v/>
      </c>
    </row>
    <row r="271" ht="15" customHeight="1" s="26">
      <c r="A271" s="37">
        <f>A270+1</f>
        <v/>
      </c>
      <c r="B271" s="37">
        <f>IF(A271&lt;=99,FLOOR(A271/5,1)+3,IF(A271&lt;=150,FLOOR(A271/10,1)+13,FLOOR((A271-150)/7,1)+28))</f>
        <v/>
      </c>
    </row>
    <row r="272" ht="15" customHeight="1" s="26">
      <c r="A272" s="37">
        <f>A271+1</f>
        <v/>
      </c>
      <c r="B272" s="37">
        <f>IF(A272&lt;=99,FLOOR(A272/5,1)+3,IF(A272&lt;=150,FLOOR(A272/10,1)+13,FLOOR((A272-150)/7,1)+28))</f>
        <v/>
      </c>
    </row>
    <row r="273" ht="15" customHeight="1" s="26">
      <c r="A273" s="37">
        <f>A272+1</f>
        <v/>
      </c>
      <c r="B273" s="37">
        <f>IF(A273&lt;=99,FLOOR(A273/5,1)+3,IF(A273&lt;=150,FLOOR(A273/10,1)+13,FLOOR((A273-150)/7,1)+28))</f>
        <v/>
      </c>
    </row>
    <row r="274" ht="15" customHeight="1" s="26">
      <c r="A274" s="37">
        <f>A273+1</f>
        <v/>
      </c>
      <c r="B274" s="37">
        <f>IF(A274&lt;=99,FLOOR(A274/5,1)+3,IF(A274&lt;=150,FLOOR(A274/10,1)+13,FLOOR((A274-150)/7,1)+28))</f>
        <v/>
      </c>
    </row>
    <row r="275" ht="15" customHeight="1" s="26">
      <c r="A275" s="37">
        <f>A274+1</f>
        <v/>
      </c>
      <c r="B275" s="37">
        <f>IF(A275&lt;=99,FLOOR(A275/5,1)+3,IF(A275&lt;=150,FLOOR(A275/10,1)+13,FLOOR((A275-150)/7,1)+28))</f>
        <v/>
      </c>
    </row>
    <row r="276" ht="15" customHeight="1" s="26">
      <c r="A276" s="37">
        <f>A275+1</f>
        <v/>
      </c>
      <c r="B276" s="37">
        <f>IF(A276&lt;=99,FLOOR(A276/5,1)+3,IF(A276&lt;=150,FLOOR(A276/10,1)+13,FLOOR((A276-150)/7,1)+28))</f>
        <v/>
      </c>
    </row>
    <row r="277" ht="15" customHeight="1" s="26">
      <c r="A277" s="37">
        <f>A276+1</f>
        <v/>
      </c>
      <c r="B277" s="37">
        <f>IF(A277&lt;=99,FLOOR(A277/5,1)+3,IF(A277&lt;=150,FLOOR(A277/10,1)+13,FLOOR((A277-150)/7,1)+28))</f>
        <v/>
      </c>
    </row>
    <row r="278" ht="15" customHeight="1" s="26">
      <c r="A278" s="37">
        <f>A277+1</f>
        <v/>
      </c>
      <c r="B278" s="37">
        <f>IF(A278&lt;=99,FLOOR(A278/5,1)+3,IF(A278&lt;=150,FLOOR(A278/10,1)+13,FLOOR((A278-150)/7,1)+28))</f>
        <v/>
      </c>
    </row>
    <row r="279" ht="15" customHeight="1" s="26">
      <c r="A279" s="37">
        <f>A278+1</f>
        <v/>
      </c>
      <c r="B279" s="37">
        <f>IF(A279&lt;=99,FLOOR(A279/5,1)+3,IF(A279&lt;=150,FLOOR(A279/10,1)+13,FLOOR((A279-150)/7,1)+28))</f>
        <v/>
      </c>
    </row>
    <row r="280" ht="15" customHeight="1" s="26">
      <c r="A280" s="37">
        <f>A279+1</f>
        <v/>
      </c>
      <c r="B280" s="37">
        <f>IF(A280&lt;=99,FLOOR(A280/5,1)+3,IF(A280&lt;=150,FLOOR(A280/10,1)+13,FLOOR((A280-150)/7,1)+28))</f>
        <v/>
      </c>
    </row>
    <row r="281" ht="15" customHeight="1" s="26">
      <c r="A281" s="37">
        <f>A280+1</f>
        <v/>
      </c>
      <c r="B281" s="37">
        <f>IF(A281&lt;=99,FLOOR(A281/5,1)+3,IF(A281&lt;=150,FLOOR(A281/10,1)+13,FLOOR((A281-150)/7,1)+28))</f>
        <v/>
      </c>
    </row>
    <row r="282" ht="15" customHeight="1" s="26">
      <c r="A282" s="37">
        <f>A281+1</f>
        <v/>
      </c>
      <c r="B282" s="37">
        <f>IF(A282&lt;=99,FLOOR(A282/5,1)+3,IF(A282&lt;=150,FLOOR(A282/10,1)+13,FLOOR((A282-150)/7,1)+28))</f>
        <v/>
      </c>
    </row>
    <row r="284" ht="15" customHeight="1" s="26">
      <c r="A284" s="31" t="inlineStr">
        <is>
          <t>Cost to Raise a Stat, by Exact Value</t>
        </is>
      </c>
    </row>
    <row r="285" ht="15" customHeight="1" s="26">
      <c r="A285" s="45" t="inlineStr">
        <is>
          <t>Stat Value (X)</t>
        </is>
      </c>
      <c r="B285" s="45" t="inlineStr">
        <is>
          <t>Cost per Point</t>
        </is>
      </c>
    </row>
    <row r="286" ht="15" customHeight="1" s="26">
      <c r="A286" s="37" t="n">
        <v>1</v>
      </c>
      <c r="B286" s="37">
        <f>IF(A286&lt;=99,FLOOR((A286-1)/10,1)+2,4*FLOOR((A286-100)/5,1)+16)</f>
        <v/>
      </c>
    </row>
    <row r="287" ht="15" customHeight="1" s="26">
      <c r="A287" s="37">
        <f>A286+1</f>
        <v/>
      </c>
      <c r="B287" s="37">
        <f>IF(A287&lt;=99,FLOOR((A287-1)/10,1)+2,4*FLOOR((A287-100)/5,1)+16)</f>
        <v/>
      </c>
    </row>
    <row r="288" ht="15" customHeight="1" s="26">
      <c r="A288" s="37">
        <f>A287+1</f>
        <v/>
      </c>
      <c r="B288" s="37">
        <f>IF(A288&lt;=99,FLOOR((A288-1)/10,1)+2,4*FLOOR((A288-100)/5,1)+16)</f>
        <v/>
      </c>
    </row>
    <row r="289" ht="15" customHeight="1" s="26">
      <c r="A289" s="37">
        <f>A288+1</f>
        <v/>
      </c>
      <c r="B289" s="37">
        <f>IF(A289&lt;=99,FLOOR((A289-1)/10,1)+2,4*FLOOR((A289-100)/5,1)+16)</f>
        <v/>
      </c>
    </row>
    <row r="290" ht="15" customHeight="1" s="26">
      <c r="A290" s="37">
        <f>A289+1</f>
        <v/>
      </c>
      <c r="B290" s="37">
        <f>IF(A290&lt;=99,FLOOR((A290-1)/10,1)+2,4*FLOOR((A290-100)/5,1)+16)</f>
        <v/>
      </c>
    </row>
    <row r="291" ht="15" customHeight="1" s="26">
      <c r="A291" s="37">
        <f>A290+1</f>
        <v/>
      </c>
      <c r="B291" s="37">
        <f>IF(A291&lt;=99,FLOOR((A291-1)/10,1)+2,4*FLOOR((A291-100)/5,1)+16)</f>
        <v/>
      </c>
    </row>
    <row r="292" ht="15" customHeight="1" s="26">
      <c r="A292" s="37">
        <f>A291+1</f>
        <v/>
      </c>
      <c r="B292" s="37">
        <f>IF(A292&lt;=99,FLOOR((A292-1)/10,1)+2,4*FLOOR((A292-100)/5,1)+16)</f>
        <v/>
      </c>
    </row>
    <row r="293" ht="15" customHeight="1" s="26">
      <c r="A293" s="37">
        <f>A292+1</f>
        <v/>
      </c>
      <c r="B293" s="37">
        <f>IF(A293&lt;=99,FLOOR((A293-1)/10,1)+2,4*FLOOR((A293-100)/5,1)+16)</f>
        <v/>
      </c>
    </row>
    <row r="294" ht="15" customHeight="1" s="26">
      <c r="A294" s="37">
        <f>A293+1</f>
        <v/>
      </c>
      <c r="B294" s="37">
        <f>IF(A294&lt;=99,FLOOR((A294-1)/10,1)+2,4*FLOOR((A294-100)/5,1)+16)</f>
        <v/>
      </c>
    </row>
    <row r="295" ht="15" customHeight="1" s="26">
      <c r="A295" s="37">
        <f>A294+1</f>
        <v/>
      </c>
      <c r="B295" s="37">
        <f>IF(A295&lt;=99,FLOOR((A295-1)/10,1)+2,4*FLOOR((A295-100)/5,1)+16)</f>
        <v/>
      </c>
    </row>
    <row r="296" ht="15" customHeight="1" s="26">
      <c r="A296" s="37">
        <f>A295+1</f>
        <v/>
      </c>
      <c r="B296" s="37">
        <f>IF(A296&lt;=99,FLOOR((A296-1)/10,1)+2,4*FLOOR((A296-100)/5,1)+16)</f>
        <v/>
      </c>
    </row>
    <row r="297" ht="15" customHeight="1" s="26">
      <c r="A297" s="37">
        <f>A296+1</f>
        <v/>
      </c>
      <c r="B297" s="37">
        <f>IF(A297&lt;=99,FLOOR((A297-1)/10,1)+2,4*FLOOR((A297-100)/5,1)+16)</f>
        <v/>
      </c>
    </row>
    <row r="298" ht="15" customHeight="1" s="26">
      <c r="A298" s="37">
        <f>A297+1</f>
        <v/>
      </c>
      <c r="B298" s="37">
        <f>IF(A298&lt;=99,FLOOR((A298-1)/10,1)+2,4*FLOOR((A298-100)/5,1)+16)</f>
        <v/>
      </c>
    </row>
    <row r="299" ht="15" customHeight="1" s="26">
      <c r="A299" s="37">
        <f>A298+1</f>
        <v/>
      </c>
      <c r="B299" s="37">
        <f>IF(A299&lt;=99,FLOOR((A299-1)/10,1)+2,4*FLOOR((A299-100)/5,1)+16)</f>
        <v/>
      </c>
    </row>
    <row r="300" ht="15" customHeight="1" s="26">
      <c r="A300" s="37">
        <f>A299+1</f>
        <v/>
      </c>
      <c r="B300" s="37">
        <f>IF(A300&lt;=99,FLOOR((A300-1)/10,1)+2,4*FLOOR((A300-100)/5,1)+16)</f>
        <v/>
      </c>
    </row>
    <row r="301" ht="15" customHeight="1" s="26">
      <c r="A301" s="37">
        <f>A300+1</f>
        <v/>
      </c>
      <c r="B301" s="37">
        <f>IF(A301&lt;=99,FLOOR((A301-1)/10,1)+2,4*FLOOR((A301-100)/5,1)+16)</f>
        <v/>
      </c>
    </row>
    <row r="302" ht="15" customHeight="1" s="26">
      <c r="A302" s="37">
        <f>A301+1</f>
        <v/>
      </c>
      <c r="B302" s="37">
        <f>IF(A302&lt;=99,FLOOR((A302-1)/10,1)+2,4*FLOOR((A302-100)/5,1)+16)</f>
        <v/>
      </c>
    </row>
    <row r="303" ht="15" customHeight="1" s="26">
      <c r="A303" s="37">
        <f>A302+1</f>
        <v/>
      </c>
      <c r="B303" s="37">
        <f>IF(A303&lt;=99,FLOOR((A303-1)/10,1)+2,4*FLOOR((A303-100)/5,1)+16)</f>
        <v/>
      </c>
    </row>
    <row r="304" ht="15" customHeight="1" s="26">
      <c r="A304" s="37">
        <f>A303+1</f>
        <v/>
      </c>
      <c r="B304" s="37">
        <f>IF(A304&lt;=99,FLOOR((A304-1)/10,1)+2,4*FLOOR((A304-100)/5,1)+16)</f>
        <v/>
      </c>
    </row>
    <row r="305" ht="15" customHeight="1" s="26">
      <c r="A305" s="37">
        <f>A304+1</f>
        <v/>
      </c>
      <c r="B305" s="37">
        <f>IF(A305&lt;=99,FLOOR((A305-1)/10,1)+2,4*FLOOR((A305-100)/5,1)+16)</f>
        <v/>
      </c>
    </row>
    <row r="306" ht="15" customHeight="1" s="26">
      <c r="A306" s="37">
        <f>A305+1</f>
        <v/>
      </c>
      <c r="B306" s="37">
        <f>IF(A306&lt;=99,FLOOR((A306-1)/10,1)+2,4*FLOOR((A306-100)/5,1)+16)</f>
        <v/>
      </c>
    </row>
    <row r="307" ht="15" customHeight="1" s="26">
      <c r="A307" s="37">
        <f>A306+1</f>
        <v/>
      </c>
      <c r="B307" s="37">
        <f>IF(A307&lt;=99,FLOOR((A307-1)/10,1)+2,4*FLOOR((A307-100)/5,1)+16)</f>
        <v/>
      </c>
    </row>
    <row r="308" ht="15" customHeight="1" s="26">
      <c r="A308" s="37">
        <f>A307+1</f>
        <v/>
      </c>
      <c r="B308" s="37">
        <f>IF(A308&lt;=99,FLOOR((A308-1)/10,1)+2,4*FLOOR((A308-100)/5,1)+16)</f>
        <v/>
      </c>
    </row>
    <row r="309" ht="15" customHeight="1" s="26">
      <c r="A309" s="37">
        <f>A308+1</f>
        <v/>
      </c>
      <c r="B309" s="37">
        <f>IF(A309&lt;=99,FLOOR((A309-1)/10,1)+2,4*FLOOR((A309-100)/5,1)+16)</f>
        <v/>
      </c>
    </row>
    <row r="310" ht="15" customHeight="1" s="26">
      <c r="A310" s="37">
        <f>A309+1</f>
        <v/>
      </c>
      <c r="B310" s="37">
        <f>IF(A310&lt;=99,FLOOR((A310-1)/10,1)+2,4*FLOOR((A310-100)/5,1)+16)</f>
        <v/>
      </c>
    </row>
    <row r="311" ht="15" customHeight="1" s="26">
      <c r="A311" s="37">
        <f>A310+1</f>
        <v/>
      </c>
      <c r="B311" s="37">
        <f>IF(A311&lt;=99,FLOOR((A311-1)/10,1)+2,4*FLOOR((A311-100)/5,1)+16)</f>
        <v/>
      </c>
    </row>
    <row r="312" ht="15" customHeight="1" s="26">
      <c r="A312" s="37">
        <f>A311+1</f>
        <v/>
      </c>
      <c r="B312" s="37">
        <f>IF(A312&lt;=99,FLOOR((A312-1)/10,1)+2,4*FLOOR((A312-100)/5,1)+16)</f>
        <v/>
      </c>
    </row>
    <row r="313" ht="15" customHeight="1" s="26">
      <c r="A313" s="37">
        <f>A312+1</f>
        <v/>
      </c>
      <c r="B313" s="37">
        <f>IF(A313&lt;=99,FLOOR((A313-1)/10,1)+2,4*FLOOR((A313-100)/5,1)+16)</f>
        <v/>
      </c>
    </row>
    <row r="314" ht="15" customHeight="1" s="26">
      <c r="A314" s="37">
        <f>A313+1</f>
        <v/>
      </c>
      <c r="B314" s="37">
        <f>IF(A314&lt;=99,FLOOR((A314-1)/10,1)+2,4*FLOOR((A314-100)/5,1)+16)</f>
        <v/>
      </c>
    </row>
    <row r="315" ht="15" customHeight="1" s="26">
      <c r="A315" s="37">
        <f>A314+1</f>
        <v/>
      </c>
      <c r="B315" s="37">
        <f>IF(A315&lt;=99,FLOOR((A315-1)/10,1)+2,4*FLOOR((A315-100)/5,1)+16)</f>
        <v/>
      </c>
    </row>
    <row r="316" ht="15" customHeight="1" s="26">
      <c r="A316" s="37">
        <f>A315+1</f>
        <v/>
      </c>
      <c r="B316" s="37">
        <f>IF(A316&lt;=99,FLOOR((A316-1)/10,1)+2,4*FLOOR((A316-100)/5,1)+16)</f>
        <v/>
      </c>
    </row>
    <row r="317" ht="15" customHeight="1" s="26">
      <c r="A317" s="37">
        <f>A316+1</f>
        <v/>
      </c>
      <c r="B317" s="37">
        <f>IF(A317&lt;=99,FLOOR((A317-1)/10,1)+2,4*FLOOR((A317-100)/5,1)+16)</f>
        <v/>
      </c>
    </row>
    <row r="318" ht="15" customHeight="1" s="26">
      <c r="A318" s="37">
        <f>A317+1</f>
        <v/>
      </c>
      <c r="B318" s="37">
        <f>IF(A318&lt;=99,FLOOR((A318-1)/10,1)+2,4*FLOOR((A318-100)/5,1)+16)</f>
        <v/>
      </c>
    </row>
    <row r="319" ht="15" customHeight="1" s="26">
      <c r="A319" s="37">
        <f>A318+1</f>
        <v/>
      </c>
      <c r="B319" s="37">
        <f>IF(A319&lt;=99,FLOOR((A319-1)/10,1)+2,4*FLOOR((A319-100)/5,1)+16)</f>
        <v/>
      </c>
    </row>
    <row r="320" ht="15" customHeight="1" s="26">
      <c r="A320" s="37">
        <f>A319+1</f>
        <v/>
      </c>
      <c r="B320" s="37">
        <f>IF(A320&lt;=99,FLOOR((A320-1)/10,1)+2,4*FLOOR((A320-100)/5,1)+16)</f>
        <v/>
      </c>
    </row>
    <row r="321" ht="15" customHeight="1" s="26">
      <c r="A321" s="37">
        <f>A320+1</f>
        <v/>
      </c>
      <c r="B321" s="37">
        <f>IF(A321&lt;=99,FLOOR((A321-1)/10,1)+2,4*FLOOR((A321-100)/5,1)+16)</f>
        <v/>
      </c>
    </row>
    <row r="322" ht="15" customHeight="1" s="26">
      <c r="A322" s="37">
        <f>A321+1</f>
        <v/>
      </c>
      <c r="B322" s="37">
        <f>IF(A322&lt;=99,FLOOR((A322-1)/10,1)+2,4*FLOOR((A322-100)/5,1)+16)</f>
        <v/>
      </c>
    </row>
    <row r="323" ht="15" customHeight="1" s="26">
      <c r="A323" s="37">
        <f>A322+1</f>
        <v/>
      </c>
      <c r="B323" s="37">
        <f>IF(A323&lt;=99,FLOOR((A323-1)/10,1)+2,4*FLOOR((A323-100)/5,1)+16)</f>
        <v/>
      </c>
    </row>
    <row r="324" ht="15" customHeight="1" s="26">
      <c r="A324" s="37">
        <f>A323+1</f>
        <v/>
      </c>
      <c r="B324" s="37">
        <f>IF(A324&lt;=99,FLOOR((A324-1)/10,1)+2,4*FLOOR((A324-100)/5,1)+16)</f>
        <v/>
      </c>
    </row>
    <row r="325" ht="15" customHeight="1" s="26">
      <c r="A325" s="37">
        <f>A324+1</f>
        <v/>
      </c>
      <c r="B325" s="37">
        <f>IF(A325&lt;=99,FLOOR((A325-1)/10,1)+2,4*FLOOR((A325-100)/5,1)+16)</f>
        <v/>
      </c>
    </row>
    <row r="326" ht="15" customHeight="1" s="26">
      <c r="A326" s="37">
        <f>A325+1</f>
        <v/>
      </c>
      <c r="B326" s="37">
        <f>IF(A326&lt;=99,FLOOR((A326-1)/10,1)+2,4*FLOOR((A326-100)/5,1)+16)</f>
        <v/>
      </c>
    </row>
    <row r="327" ht="15" customHeight="1" s="26">
      <c r="A327" s="37">
        <f>A326+1</f>
        <v/>
      </c>
      <c r="B327" s="37">
        <f>IF(A327&lt;=99,FLOOR((A327-1)/10,1)+2,4*FLOOR((A327-100)/5,1)+16)</f>
        <v/>
      </c>
    </row>
    <row r="328" ht="15" customHeight="1" s="26">
      <c r="A328" s="37">
        <f>A327+1</f>
        <v/>
      </c>
      <c r="B328" s="37">
        <f>IF(A328&lt;=99,FLOOR((A328-1)/10,1)+2,4*FLOOR((A328-100)/5,1)+16)</f>
        <v/>
      </c>
    </row>
    <row r="329" ht="15" customHeight="1" s="26">
      <c r="A329" s="37">
        <f>A328+1</f>
        <v/>
      </c>
      <c r="B329" s="37">
        <f>IF(A329&lt;=99,FLOOR((A329-1)/10,1)+2,4*FLOOR((A329-100)/5,1)+16)</f>
        <v/>
      </c>
    </row>
    <row r="330" ht="15" customHeight="1" s="26">
      <c r="A330" s="37">
        <f>A329+1</f>
        <v/>
      </c>
      <c r="B330" s="37">
        <f>IF(A330&lt;=99,FLOOR((A330-1)/10,1)+2,4*FLOOR((A330-100)/5,1)+16)</f>
        <v/>
      </c>
    </row>
    <row r="331" ht="15" customHeight="1" s="26">
      <c r="A331" s="37">
        <f>A330+1</f>
        <v/>
      </c>
      <c r="B331" s="37">
        <f>IF(A331&lt;=99,FLOOR((A331-1)/10,1)+2,4*FLOOR((A331-100)/5,1)+16)</f>
        <v/>
      </c>
    </row>
    <row r="332" ht="15" customHeight="1" s="26">
      <c r="A332" s="37">
        <f>A331+1</f>
        <v/>
      </c>
      <c r="B332" s="37">
        <f>IF(A332&lt;=99,FLOOR((A332-1)/10,1)+2,4*FLOOR((A332-100)/5,1)+16)</f>
        <v/>
      </c>
    </row>
    <row r="333" ht="15" customHeight="1" s="26">
      <c r="A333" s="37">
        <f>A332+1</f>
        <v/>
      </c>
      <c r="B333" s="37">
        <f>IF(A333&lt;=99,FLOOR((A333-1)/10,1)+2,4*FLOOR((A333-100)/5,1)+16)</f>
        <v/>
      </c>
    </row>
    <row r="334" ht="15" customHeight="1" s="26">
      <c r="A334" s="37">
        <f>A333+1</f>
        <v/>
      </c>
      <c r="B334" s="37">
        <f>IF(A334&lt;=99,FLOOR((A334-1)/10,1)+2,4*FLOOR((A334-100)/5,1)+16)</f>
        <v/>
      </c>
    </row>
    <row r="335" ht="15" customHeight="1" s="26">
      <c r="A335" s="37">
        <f>A334+1</f>
        <v/>
      </c>
      <c r="B335" s="37">
        <f>IF(A335&lt;=99,FLOOR((A335-1)/10,1)+2,4*FLOOR((A335-100)/5,1)+16)</f>
        <v/>
      </c>
    </row>
    <row r="336" ht="15" customHeight="1" s="26">
      <c r="A336" s="37">
        <f>A335+1</f>
        <v/>
      </c>
      <c r="B336" s="37">
        <f>IF(A336&lt;=99,FLOOR((A336-1)/10,1)+2,4*FLOOR((A336-100)/5,1)+16)</f>
        <v/>
      </c>
    </row>
    <row r="337" ht="15" customHeight="1" s="26">
      <c r="A337" s="37">
        <f>A336+1</f>
        <v/>
      </c>
      <c r="B337" s="37">
        <f>IF(A337&lt;=99,FLOOR((A337-1)/10,1)+2,4*FLOOR((A337-100)/5,1)+16)</f>
        <v/>
      </c>
    </row>
    <row r="338" ht="15" customHeight="1" s="26">
      <c r="A338" s="37">
        <f>A337+1</f>
        <v/>
      </c>
      <c r="B338" s="37">
        <f>IF(A338&lt;=99,FLOOR((A338-1)/10,1)+2,4*FLOOR((A338-100)/5,1)+16)</f>
        <v/>
      </c>
    </row>
    <row r="339" ht="15" customHeight="1" s="26">
      <c r="A339" s="37">
        <f>A338+1</f>
        <v/>
      </c>
      <c r="B339" s="37">
        <f>IF(A339&lt;=99,FLOOR((A339-1)/10,1)+2,4*FLOOR((A339-100)/5,1)+16)</f>
        <v/>
      </c>
    </row>
    <row r="340" ht="15" customHeight="1" s="26">
      <c r="A340" s="37">
        <f>A339+1</f>
        <v/>
      </c>
      <c r="B340" s="37">
        <f>IF(A340&lt;=99,FLOOR((A340-1)/10,1)+2,4*FLOOR((A340-100)/5,1)+16)</f>
        <v/>
      </c>
    </row>
    <row r="341" ht="15" customHeight="1" s="26">
      <c r="A341" s="37">
        <f>A340+1</f>
        <v/>
      </c>
      <c r="B341" s="37">
        <f>IF(A341&lt;=99,FLOOR((A341-1)/10,1)+2,4*FLOOR((A341-100)/5,1)+16)</f>
        <v/>
      </c>
    </row>
    <row r="342" ht="15" customHeight="1" s="26">
      <c r="A342" s="37">
        <f>A341+1</f>
        <v/>
      </c>
      <c r="B342" s="37">
        <f>IF(A342&lt;=99,FLOOR((A342-1)/10,1)+2,4*FLOOR((A342-100)/5,1)+16)</f>
        <v/>
      </c>
    </row>
    <row r="343" ht="15" customHeight="1" s="26">
      <c r="A343" s="37">
        <f>A342+1</f>
        <v/>
      </c>
      <c r="B343" s="37">
        <f>IF(A343&lt;=99,FLOOR((A343-1)/10,1)+2,4*FLOOR((A343-100)/5,1)+16)</f>
        <v/>
      </c>
    </row>
    <row r="344" ht="15" customHeight="1" s="26">
      <c r="A344" s="37">
        <f>A343+1</f>
        <v/>
      </c>
      <c r="B344" s="37">
        <f>IF(A344&lt;=99,FLOOR((A344-1)/10,1)+2,4*FLOOR((A344-100)/5,1)+16)</f>
        <v/>
      </c>
    </row>
    <row r="345" ht="15" customHeight="1" s="26">
      <c r="A345" s="37">
        <f>A344+1</f>
        <v/>
      </c>
      <c r="B345" s="37">
        <f>IF(A345&lt;=99,FLOOR((A345-1)/10,1)+2,4*FLOOR((A345-100)/5,1)+16)</f>
        <v/>
      </c>
    </row>
    <row r="346" ht="15" customHeight="1" s="26">
      <c r="A346" s="37">
        <f>A345+1</f>
        <v/>
      </c>
      <c r="B346" s="37">
        <f>IF(A346&lt;=99,FLOOR((A346-1)/10,1)+2,4*FLOOR((A346-100)/5,1)+16)</f>
        <v/>
      </c>
    </row>
    <row r="347" ht="15" customHeight="1" s="26">
      <c r="A347" s="37">
        <f>A346+1</f>
        <v/>
      </c>
      <c r="B347" s="37">
        <f>IF(A347&lt;=99,FLOOR((A347-1)/10,1)+2,4*FLOOR((A347-100)/5,1)+16)</f>
        <v/>
      </c>
    </row>
    <row r="348" ht="15" customHeight="1" s="26">
      <c r="A348" s="37">
        <f>A347+1</f>
        <v/>
      </c>
      <c r="B348" s="37">
        <f>IF(A348&lt;=99,FLOOR((A348-1)/10,1)+2,4*FLOOR((A348-100)/5,1)+16)</f>
        <v/>
      </c>
    </row>
    <row r="349" ht="15" customHeight="1" s="26">
      <c r="A349" s="37">
        <f>A348+1</f>
        <v/>
      </c>
      <c r="B349" s="37">
        <f>IF(A349&lt;=99,FLOOR((A349-1)/10,1)+2,4*FLOOR((A349-100)/5,1)+16)</f>
        <v/>
      </c>
    </row>
    <row r="350" ht="15" customHeight="1" s="26">
      <c r="A350" s="37">
        <f>A349+1</f>
        <v/>
      </c>
      <c r="B350" s="37">
        <f>IF(A350&lt;=99,FLOOR((A350-1)/10,1)+2,4*FLOOR((A350-100)/5,1)+16)</f>
        <v/>
      </c>
    </row>
    <row r="351" ht="15" customHeight="1" s="26">
      <c r="A351" s="37">
        <f>A350+1</f>
        <v/>
      </c>
      <c r="B351" s="37">
        <f>IF(A351&lt;=99,FLOOR((A351-1)/10,1)+2,4*FLOOR((A351-100)/5,1)+16)</f>
        <v/>
      </c>
    </row>
    <row r="352" ht="15" customHeight="1" s="26">
      <c r="A352" s="37">
        <f>A351+1</f>
        <v/>
      </c>
      <c r="B352" s="37">
        <f>IF(A352&lt;=99,FLOOR((A352-1)/10,1)+2,4*FLOOR((A352-100)/5,1)+16)</f>
        <v/>
      </c>
    </row>
    <row r="353" ht="15" customHeight="1" s="26">
      <c r="A353" s="37">
        <f>A352+1</f>
        <v/>
      </c>
      <c r="B353" s="37">
        <f>IF(A353&lt;=99,FLOOR((A353-1)/10,1)+2,4*FLOOR((A353-100)/5,1)+16)</f>
        <v/>
      </c>
    </row>
    <row r="354" ht="15" customHeight="1" s="26">
      <c r="A354" s="37">
        <f>A353+1</f>
        <v/>
      </c>
      <c r="B354" s="37">
        <f>IF(A354&lt;=99,FLOOR((A354-1)/10,1)+2,4*FLOOR((A354-100)/5,1)+16)</f>
        <v/>
      </c>
    </row>
    <row r="355" ht="15" customHeight="1" s="26">
      <c r="A355" s="37">
        <f>A354+1</f>
        <v/>
      </c>
      <c r="B355" s="37">
        <f>IF(A355&lt;=99,FLOOR((A355-1)/10,1)+2,4*FLOOR((A355-100)/5,1)+16)</f>
        <v/>
      </c>
    </row>
    <row r="356" ht="15" customHeight="1" s="26">
      <c r="A356" s="37">
        <f>A355+1</f>
        <v/>
      </c>
      <c r="B356" s="37">
        <f>IF(A356&lt;=99,FLOOR((A356-1)/10,1)+2,4*FLOOR((A356-100)/5,1)+16)</f>
        <v/>
      </c>
    </row>
    <row r="357" ht="15" customHeight="1" s="26">
      <c r="A357" s="37">
        <f>A356+1</f>
        <v/>
      </c>
      <c r="B357" s="37">
        <f>IF(A357&lt;=99,FLOOR((A357-1)/10,1)+2,4*FLOOR((A357-100)/5,1)+16)</f>
        <v/>
      </c>
    </row>
    <row r="358" ht="15" customHeight="1" s="26">
      <c r="A358" s="37">
        <f>A357+1</f>
        <v/>
      </c>
      <c r="B358" s="37">
        <f>IF(A358&lt;=99,FLOOR((A358-1)/10,1)+2,4*FLOOR((A358-100)/5,1)+16)</f>
        <v/>
      </c>
    </row>
    <row r="359" ht="15" customHeight="1" s="26">
      <c r="A359" s="37">
        <f>A358+1</f>
        <v/>
      </c>
      <c r="B359" s="37">
        <f>IF(A359&lt;=99,FLOOR((A359-1)/10,1)+2,4*FLOOR((A359-100)/5,1)+16)</f>
        <v/>
      </c>
    </row>
    <row r="360" ht="15" customHeight="1" s="26">
      <c r="A360" s="37">
        <f>A359+1</f>
        <v/>
      </c>
      <c r="B360" s="37">
        <f>IF(A360&lt;=99,FLOOR((A360-1)/10,1)+2,4*FLOOR((A360-100)/5,1)+16)</f>
        <v/>
      </c>
    </row>
    <row r="361" ht="15" customHeight="1" s="26">
      <c r="A361" s="37">
        <f>A360+1</f>
        <v/>
      </c>
      <c r="B361" s="37">
        <f>IF(A361&lt;=99,FLOOR((A361-1)/10,1)+2,4*FLOOR((A361-100)/5,1)+16)</f>
        <v/>
      </c>
    </row>
    <row r="362" ht="15" customHeight="1" s="26">
      <c r="A362" s="37">
        <f>A361+1</f>
        <v/>
      </c>
      <c r="B362" s="37">
        <f>IF(A362&lt;=99,FLOOR((A362-1)/10,1)+2,4*FLOOR((A362-100)/5,1)+16)</f>
        <v/>
      </c>
    </row>
    <row r="363" ht="15" customHeight="1" s="26">
      <c r="A363" s="37">
        <f>A362+1</f>
        <v/>
      </c>
      <c r="B363" s="37">
        <f>IF(A363&lt;=99,FLOOR((A363-1)/10,1)+2,4*FLOOR((A363-100)/5,1)+16)</f>
        <v/>
      </c>
    </row>
    <row r="364" ht="15" customHeight="1" s="26">
      <c r="A364" s="37">
        <f>A363+1</f>
        <v/>
      </c>
      <c r="B364" s="37">
        <f>IF(A364&lt;=99,FLOOR((A364-1)/10,1)+2,4*FLOOR((A364-100)/5,1)+16)</f>
        <v/>
      </c>
    </row>
    <row r="365" ht="15" customHeight="1" s="26">
      <c r="A365" s="37">
        <f>A364+1</f>
        <v/>
      </c>
      <c r="B365" s="37">
        <f>IF(A365&lt;=99,FLOOR((A365-1)/10,1)+2,4*FLOOR((A365-100)/5,1)+16)</f>
        <v/>
      </c>
    </row>
    <row r="366" ht="15" customHeight="1" s="26">
      <c r="A366" s="37">
        <f>A365+1</f>
        <v/>
      </c>
      <c r="B366" s="37">
        <f>IF(A366&lt;=99,FLOOR((A366-1)/10,1)+2,4*FLOOR((A366-100)/5,1)+16)</f>
        <v/>
      </c>
    </row>
    <row r="367" ht="15" customHeight="1" s="26">
      <c r="A367" s="37">
        <f>A366+1</f>
        <v/>
      </c>
      <c r="B367" s="37">
        <f>IF(A367&lt;=99,FLOOR((A367-1)/10,1)+2,4*FLOOR((A367-100)/5,1)+16)</f>
        <v/>
      </c>
    </row>
    <row r="368" ht="15" customHeight="1" s="26">
      <c r="A368" s="37">
        <f>A367+1</f>
        <v/>
      </c>
      <c r="B368" s="37">
        <f>IF(A368&lt;=99,FLOOR((A368-1)/10,1)+2,4*FLOOR((A368-100)/5,1)+16)</f>
        <v/>
      </c>
    </row>
    <row r="369" ht="15" customHeight="1" s="26">
      <c r="A369" s="37">
        <f>A368+1</f>
        <v/>
      </c>
      <c r="B369" s="37">
        <f>IF(A369&lt;=99,FLOOR((A369-1)/10,1)+2,4*FLOOR((A369-100)/5,1)+16)</f>
        <v/>
      </c>
    </row>
    <row r="370" ht="15" customHeight="1" s="26">
      <c r="A370" s="37">
        <f>A369+1</f>
        <v/>
      </c>
      <c r="B370" s="37">
        <f>IF(A370&lt;=99,FLOOR((A370-1)/10,1)+2,4*FLOOR((A370-100)/5,1)+16)</f>
        <v/>
      </c>
    </row>
    <row r="371" ht="15" customHeight="1" s="26">
      <c r="A371" s="37">
        <f>A370+1</f>
        <v/>
      </c>
      <c r="B371" s="37">
        <f>IF(A371&lt;=99,FLOOR((A371-1)/10,1)+2,4*FLOOR((A371-100)/5,1)+16)</f>
        <v/>
      </c>
    </row>
    <row r="372" ht="15" customHeight="1" s="26">
      <c r="A372" s="37">
        <f>A371+1</f>
        <v/>
      </c>
      <c r="B372" s="37">
        <f>IF(A372&lt;=99,FLOOR((A372-1)/10,1)+2,4*FLOOR((A372-100)/5,1)+16)</f>
        <v/>
      </c>
    </row>
    <row r="373" ht="15" customHeight="1" s="26">
      <c r="A373" s="37">
        <f>A372+1</f>
        <v/>
      </c>
      <c r="B373" s="37">
        <f>IF(A373&lt;=99,FLOOR((A373-1)/10,1)+2,4*FLOOR((A373-100)/5,1)+16)</f>
        <v/>
      </c>
    </row>
    <row r="374" ht="15" customHeight="1" s="26">
      <c r="A374" s="37">
        <f>A373+1</f>
        <v/>
      </c>
      <c r="B374" s="37">
        <f>IF(A374&lt;=99,FLOOR((A374-1)/10,1)+2,4*FLOOR((A374-100)/5,1)+16)</f>
        <v/>
      </c>
    </row>
    <row r="375" ht="15" customHeight="1" s="26">
      <c r="A375" s="37">
        <f>A374+1</f>
        <v/>
      </c>
      <c r="B375" s="37">
        <f>IF(A375&lt;=99,FLOOR((A375-1)/10,1)+2,4*FLOOR((A375-100)/5,1)+16)</f>
        <v/>
      </c>
    </row>
    <row r="376" ht="15" customHeight="1" s="26">
      <c r="A376" s="37">
        <f>A375+1</f>
        <v/>
      </c>
      <c r="B376" s="37">
        <f>IF(A376&lt;=99,FLOOR((A376-1)/10,1)+2,4*FLOOR((A376-100)/5,1)+16)</f>
        <v/>
      </c>
    </row>
    <row r="377" ht="15" customHeight="1" s="26">
      <c r="A377" s="37">
        <f>A376+1</f>
        <v/>
      </c>
      <c r="B377" s="37">
        <f>IF(A377&lt;=99,FLOOR((A377-1)/10,1)+2,4*FLOOR((A377-100)/5,1)+16)</f>
        <v/>
      </c>
    </row>
    <row r="378" ht="15" customHeight="1" s="26">
      <c r="A378" s="37">
        <f>A377+1</f>
        <v/>
      </c>
      <c r="B378" s="37">
        <f>IF(A378&lt;=99,FLOOR((A378-1)/10,1)+2,4*FLOOR((A378-100)/5,1)+16)</f>
        <v/>
      </c>
    </row>
    <row r="379" ht="15" customHeight="1" s="26">
      <c r="A379" s="37">
        <f>A378+1</f>
        <v/>
      </c>
      <c r="B379" s="37">
        <f>IF(A379&lt;=99,FLOOR((A379-1)/10,1)+2,4*FLOOR((A379-100)/5,1)+16)</f>
        <v/>
      </c>
    </row>
    <row r="380" ht="15" customHeight="1" s="26">
      <c r="A380" s="37">
        <f>A379+1</f>
        <v/>
      </c>
      <c r="B380" s="37">
        <f>IF(A380&lt;=99,FLOOR((A380-1)/10,1)+2,4*FLOOR((A380-100)/5,1)+16)</f>
        <v/>
      </c>
    </row>
    <row r="381" ht="15" customHeight="1" s="26">
      <c r="A381" s="37">
        <f>A380+1</f>
        <v/>
      </c>
      <c r="B381" s="37">
        <f>IF(A381&lt;=99,FLOOR((A381-1)/10,1)+2,4*FLOOR((A381-100)/5,1)+16)</f>
        <v/>
      </c>
    </row>
    <row r="382" ht="15" customHeight="1" s="26">
      <c r="A382" s="37">
        <f>A381+1</f>
        <v/>
      </c>
      <c r="B382" s="37">
        <f>IF(A382&lt;=99,FLOOR((A382-1)/10,1)+2,4*FLOOR((A382-100)/5,1)+16)</f>
        <v/>
      </c>
    </row>
    <row r="383" ht="15" customHeight="1" s="26">
      <c r="A383" s="37">
        <f>A382+1</f>
        <v/>
      </c>
      <c r="B383" s="37">
        <f>IF(A383&lt;=99,FLOOR((A383-1)/10,1)+2,4*FLOOR((A383-100)/5,1)+16)</f>
        <v/>
      </c>
    </row>
    <row r="384" ht="15" customHeight="1" s="26">
      <c r="A384" s="37">
        <f>A383+1</f>
        <v/>
      </c>
      <c r="B384" s="37">
        <f>IF(A384&lt;=99,FLOOR((A384-1)/10,1)+2,4*FLOOR((A384-100)/5,1)+16)</f>
        <v/>
      </c>
    </row>
    <row r="385" ht="15" customHeight="1" s="26">
      <c r="A385" s="37">
        <f>A384+1</f>
        <v/>
      </c>
      <c r="B385" s="37">
        <f>IF(A385&lt;=99,FLOOR((A385-1)/10,1)+2,4*FLOOR((A385-100)/5,1)+16)</f>
        <v/>
      </c>
    </row>
    <row r="386" ht="15" customHeight="1" s="26">
      <c r="A386" s="37">
        <f>A385+1</f>
        <v/>
      </c>
      <c r="B386" s="37">
        <f>IF(A386&lt;=99,FLOOR((A386-1)/10,1)+2,4*FLOOR((A386-100)/5,1)+16)</f>
        <v/>
      </c>
    </row>
    <row r="387" ht="15" customHeight="1" s="26">
      <c r="A387" s="37">
        <f>A386+1</f>
        <v/>
      </c>
      <c r="B387" s="37">
        <f>IF(A387&lt;=99,FLOOR((A387-1)/10,1)+2,4*FLOOR((A387-100)/5,1)+16)</f>
        <v/>
      </c>
    </row>
    <row r="388" ht="15" customHeight="1" s="26">
      <c r="A388" s="37">
        <f>A387+1</f>
        <v/>
      </c>
      <c r="B388" s="37">
        <f>IF(A388&lt;=99,FLOOR((A388-1)/10,1)+2,4*FLOOR((A388-100)/5,1)+16)</f>
        <v/>
      </c>
    </row>
    <row r="389" ht="15" customHeight="1" s="26">
      <c r="A389" s="37">
        <f>A388+1</f>
        <v/>
      </c>
      <c r="B389" s="37">
        <f>IF(A389&lt;=99,FLOOR((A389-1)/10,1)+2,4*FLOOR((A389-100)/5,1)+16)</f>
        <v/>
      </c>
    </row>
    <row r="390" ht="15" customHeight="1" s="26">
      <c r="A390" s="37">
        <f>A389+1</f>
        <v/>
      </c>
      <c r="B390" s="37">
        <f>IF(A390&lt;=99,FLOOR((A390-1)/10,1)+2,4*FLOOR((A390-100)/5,1)+16)</f>
        <v/>
      </c>
    </row>
    <row r="391" ht="15" customHeight="1" s="26">
      <c r="A391" s="37">
        <f>A390+1</f>
        <v/>
      </c>
      <c r="B391" s="37">
        <f>IF(A391&lt;=99,FLOOR((A391-1)/10,1)+2,4*FLOOR((A391-100)/5,1)+16)</f>
        <v/>
      </c>
    </row>
    <row r="392" ht="15" customHeight="1" s="26">
      <c r="A392" s="37">
        <f>A391+1</f>
        <v/>
      </c>
      <c r="B392" s="37">
        <f>IF(A392&lt;=99,FLOOR((A392-1)/10,1)+2,4*FLOOR((A392-100)/5,1)+16)</f>
        <v/>
      </c>
    </row>
    <row r="393" ht="15" customHeight="1" s="26">
      <c r="A393" s="37">
        <f>A392+1</f>
        <v/>
      </c>
      <c r="B393" s="37">
        <f>IF(A393&lt;=99,FLOOR((A393-1)/10,1)+2,4*FLOOR((A393-100)/5,1)+16)</f>
        <v/>
      </c>
    </row>
    <row r="394" ht="15" customHeight="1" s="26">
      <c r="A394" s="37">
        <f>A393+1</f>
        <v/>
      </c>
      <c r="B394" s="37">
        <f>IF(A394&lt;=99,FLOOR((A394-1)/10,1)+2,4*FLOOR((A394-100)/5,1)+16)</f>
        <v/>
      </c>
    </row>
    <row r="395" ht="15" customHeight="1" s="26">
      <c r="A395" s="37">
        <f>A394+1</f>
        <v/>
      </c>
      <c r="B395" s="37">
        <f>IF(A395&lt;=99,FLOOR((A395-1)/10,1)+2,4*FLOOR((A395-100)/5,1)+16)</f>
        <v/>
      </c>
    </row>
    <row r="396" ht="15" customHeight="1" s="26">
      <c r="A396" s="37">
        <f>A395+1</f>
        <v/>
      </c>
      <c r="B396" s="37">
        <f>IF(A396&lt;=99,FLOOR((A396-1)/10,1)+2,4*FLOOR((A396-100)/5,1)+16)</f>
        <v/>
      </c>
    </row>
    <row r="397" ht="15" customHeight="1" s="26">
      <c r="A397" s="37">
        <f>A396+1</f>
        <v/>
      </c>
      <c r="B397" s="37">
        <f>IF(A397&lt;=99,FLOOR((A397-1)/10,1)+2,4*FLOOR((A397-100)/5,1)+16)</f>
        <v/>
      </c>
    </row>
    <row r="398" ht="15" customHeight="1" s="26">
      <c r="A398" s="37">
        <f>A397+1</f>
        <v/>
      </c>
      <c r="B398" s="37">
        <f>IF(A398&lt;=99,FLOOR((A398-1)/10,1)+2,4*FLOOR((A398-100)/5,1)+16)</f>
        <v/>
      </c>
    </row>
    <row r="399" ht="15" customHeight="1" s="26">
      <c r="A399" s="37">
        <f>A398+1</f>
        <v/>
      </c>
      <c r="B399" s="37">
        <f>IF(A399&lt;=99,FLOOR((A399-1)/10,1)+2,4*FLOOR((A399-100)/5,1)+16)</f>
        <v/>
      </c>
    </row>
    <row r="400" ht="15" customHeight="1" s="26">
      <c r="A400" s="37">
        <f>A399+1</f>
        <v/>
      </c>
      <c r="B400" s="37">
        <f>IF(A400&lt;=99,FLOOR((A400-1)/10,1)+2,4*FLOOR((A400-100)/5,1)+16)</f>
        <v/>
      </c>
    </row>
    <row r="401" ht="15" customHeight="1" s="26">
      <c r="A401" s="37">
        <f>A400+1</f>
        <v/>
      </c>
      <c r="B401" s="37">
        <f>IF(A401&lt;=99,FLOOR((A401-1)/10,1)+2,4*FLOOR((A401-100)/5,1)+16)</f>
        <v/>
      </c>
    </row>
    <row r="402" ht="15" customHeight="1" s="26">
      <c r="A402" s="37">
        <f>A401+1</f>
        <v/>
      </c>
      <c r="B402" s="37">
        <f>IF(A402&lt;=99,FLOOR((A402-1)/10,1)+2,4*FLOOR((A402-100)/5,1)+16)</f>
        <v/>
      </c>
    </row>
    <row r="403" ht="15" customHeight="1" s="26">
      <c r="A403" s="37">
        <f>A402+1</f>
        <v/>
      </c>
      <c r="B403" s="37">
        <f>IF(A403&lt;=99,FLOOR((A403-1)/10,1)+2,4*FLOOR((A403-100)/5,1)+16)</f>
        <v/>
      </c>
    </row>
    <row r="404" ht="15" customHeight="1" s="26">
      <c r="A404" s="37">
        <f>A403+1</f>
        <v/>
      </c>
      <c r="B404" s="37">
        <f>IF(A404&lt;=99,FLOOR((A404-1)/10,1)+2,4*FLOOR((A404-100)/5,1)+16)</f>
        <v/>
      </c>
    </row>
    <row r="405" ht="15" customHeight="1" s="26">
      <c r="A405" s="37">
        <f>A404+1</f>
        <v/>
      </c>
      <c r="B405" s="37">
        <f>IF(A405&lt;=99,FLOOR((A405-1)/10,1)+2,4*FLOOR((A405-100)/5,1)+16)</f>
        <v/>
      </c>
    </row>
    <row r="406" ht="15" customHeight="1" s="26">
      <c r="A406" s="37">
        <f>A405+1</f>
        <v/>
      </c>
      <c r="B406" s="37">
        <f>IF(A406&lt;=99,FLOOR((A406-1)/10,1)+2,4*FLOOR((A406-100)/5,1)+16)</f>
        <v/>
      </c>
    </row>
    <row r="407" ht="15" customHeight="1" s="26">
      <c r="A407" s="37">
        <f>A406+1</f>
        <v/>
      </c>
      <c r="B407" s="37">
        <f>IF(A407&lt;=99,FLOOR((A407-1)/10,1)+2,4*FLOOR((A407-100)/5,1)+16)</f>
        <v/>
      </c>
    </row>
    <row r="408" ht="15" customHeight="1" s="26">
      <c r="A408" s="37">
        <f>A407+1</f>
        <v/>
      </c>
      <c r="B408" s="37">
        <f>IF(A408&lt;=99,FLOOR((A408-1)/10,1)+2,4*FLOOR((A408-100)/5,1)+16)</f>
        <v/>
      </c>
    </row>
    <row r="409" ht="15" customHeight="1" s="26">
      <c r="A409" s="37">
        <f>A408+1</f>
        <v/>
      </c>
      <c r="B409" s="37">
        <f>IF(A409&lt;=99,FLOOR((A409-1)/10,1)+2,4*FLOOR((A409-100)/5,1)+16)</f>
        <v/>
      </c>
    </row>
    <row r="410" ht="15" customHeight="1" s="26">
      <c r="A410" s="37">
        <f>A409+1</f>
        <v/>
      </c>
      <c r="B410" s="37">
        <f>IF(A410&lt;=99,FLOOR((A410-1)/10,1)+2,4*FLOOR((A410-100)/5,1)+16)</f>
        <v/>
      </c>
    </row>
    <row r="411" ht="15" customHeight="1" s="26">
      <c r="A411" s="37">
        <f>A410+1</f>
        <v/>
      </c>
      <c r="B411" s="37">
        <f>IF(A411&lt;=99,FLOOR((A411-1)/10,1)+2,4*FLOOR((A411-100)/5,1)+16)</f>
        <v/>
      </c>
    </row>
    <row r="412" ht="15" customHeight="1" s="26">
      <c r="A412" s="37">
        <f>A411+1</f>
        <v/>
      </c>
      <c r="B412" s="37">
        <f>IF(A412&lt;=99,FLOOR((A412-1)/10,1)+2,4*FLOOR((A412-100)/5,1)+16)</f>
        <v/>
      </c>
    </row>
    <row r="413" ht="15" customHeight="1" s="26">
      <c r="A413" s="37">
        <f>A412+1</f>
        <v/>
      </c>
      <c r="B413" s="37">
        <f>IF(A413&lt;=99,FLOOR((A413-1)/10,1)+2,4*FLOOR((A413-100)/5,1)+16)</f>
        <v/>
      </c>
    </row>
    <row r="414" ht="15" customHeight="1" s="26">
      <c r="A414" s="37">
        <f>A413+1</f>
        <v/>
      </c>
      <c r="B414" s="37">
        <f>IF(A414&lt;=99,FLOOR((A414-1)/10,1)+2,4*FLOOR((A414-100)/5,1)+16)</f>
        <v/>
      </c>
    </row>
    <row r="415" ht="15" customHeight="1" s="26">
      <c r="A415" s="37">
        <f>A414+1</f>
        <v/>
      </c>
      <c r="B415" s="37">
        <f>IF(A415&lt;=99,FLOOR((A415-1)/10,1)+2,4*FLOOR((A415-100)/5,1)+16)</f>
        <v/>
      </c>
    </row>
    <row r="418">
      <c r="A418" s="25" t="inlineStr">
        <is>
          <t>Base EXP Required per Level (implemented 2026-09-18)</t>
        </is>
      </c>
    </row>
    <row r="419">
      <c r="A419" s="25" t="inlineStr">
        <is>
          <t>Source: iRO Wiki Classic — Base EXP Chart (irowiki.org/classic/Base_EXP_Chart), consulted September 2026. No closed-form formula exists in the real game for this curve, unlike the stat-point curves above — this is an authored table, hardcoded as a lookup array in RealRagnarokExperienceCurve.cs (Project.Character.Combat), replacing the old LinearExperienceCurve placeholder.</t>
        </is>
      </c>
    </row>
    <row r="420">
      <c r="A420" s="25" t="inlineStr">
        <is>
          <t>Level 99 requires no further EXP — this project's current level cap (no rebirth/transcendence exists here), matching the wiki's own "maxed" entry.</t>
        </is>
      </c>
    </row>
    <row r="422">
      <c r="A422" s="25" t="inlineStr">
        <is>
          <t>Level</t>
        </is>
      </c>
      <c r="B422" s="25" t="inlineStr">
        <is>
          <t>EXP to Next Level</t>
        </is>
      </c>
    </row>
    <row r="423">
      <c r="A423" s="25" t="n">
        <v>1</v>
      </c>
      <c r="B423" s="25" t="n">
        <v>9</v>
      </c>
    </row>
    <row r="424">
      <c r="A424" s="25" t="n">
        <v>2</v>
      </c>
      <c r="B424" s="25" t="n">
        <v>16</v>
      </c>
    </row>
    <row r="425">
      <c r="A425" s="25" t="n">
        <v>3</v>
      </c>
      <c r="B425" s="25" t="n">
        <v>25</v>
      </c>
    </row>
    <row r="426">
      <c r="A426" s="25" t="n">
        <v>4</v>
      </c>
      <c r="B426" s="25" t="n">
        <v>36</v>
      </c>
    </row>
    <row r="427">
      <c r="A427" s="25" t="n">
        <v>5</v>
      </c>
      <c r="B427" s="25" t="n">
        <v>77</v>
      </c>
    </row>
    <row r="428">
      <c r="A428" s="25" t="n">
        <v>6</v>
      </c>
      <c r="B428" s="25" t="n">
        <v>112</v>
      </c>
    </row>
    <row r="429">
      <c r="A429" s="25" t="n">
        <v>7</v>
      </c>
      <c r="B429" s="25" t="n">
        <v>153</v>
      </c>
    </row>
    <row r="430">
      <c r="A430" s="25" t="n">
        <v>8</v>
      </c>
      <c r="B430" s="25" t="n">
        <v>200</v>
      </c>
    </row>
    <row r="431">
      <c r="A431" s="25" t="n">
        <v>9</v>
      </c>
      <c r="B431" s="25" t="n">
        <v>253</v>
      </c>
    </row>
    <row r="432">
      <c r="A432" s="25" t="n">
        <v>10</v>
      </c>
      <c r="B432" s="25" t="n">
        <v>320</v>
      </c>
    </row>
    <row r="433">
      <c r="A433" s="25" t="n">
        <v>11</v>
      </c>
      <c r="B433" s="25" t="n">
        <v>385</v>
      </c>
    </row>
    <row r="434">
      <c r="A434" s="25" t="n">
        <v>12</v>
      </c>
      <c r="B434" s="25" t="n">
        <v>490</v>
      </c>
    </row>
    <row r="435">
      <c r="A435" s="25" t="n">
        <v>13</v>
      </c>
      <c r="B435" s="25" t="n">
        <v>585</v>
      </c>
    </row>
    <row r="436">
      <c r="A436" s="25" t="n">
        <v>14</v>
      </c>
      <c r="B436" s="25" t="n">
        <v>700</v>
      </c>
    </row>
    <row r="437">
      <c r="A437" s="25" t="n">
        <v>15</v>
      </c>
      <c r="B437" s="25" t="n">
        <v>830</v>
      </c>
    </row>
    <row r="438">
      <c r="A438" s="25" t="n">
        <v>16</v>
      </c>
      <c r="B438" s="25" t="n">
        <v>970</v>
      </c>
    </row>
    <row r="439">
      <c r="A439" s="25" t="n">
        <v>17</v>
      </c>
      <c r="B439" s="25" t="n">
        <v>1120</v>
      </c>
    </row>
    <row r="440">
      <c r="A440" s="25" t="n">
        <v>18</v>
      </c>
      <c r="B440" s="25" t="n">
        <v>1260</v>
      </c>
    </row>
    <row r="441">
      <c r="A441" s="25" t="n">
        <v>19</v>
      </c>
      <c r="B441" s="25" t="n">
        <v>1420</v>
      </c>
    </row>
    <row r="442">
      <c r="A442" s="25" t="n">
        <v>20</v>
      </c>
      <c r="B442" s="25" t="n">
        <v>1620</v>
      </c>
    </row>
    <row r="443">
      <c r="A443" s="25" t="n">
        <v>21</v>
      </c>
      <c r="B443" s="25" t="n">
        <v>1860</v>
      </c>
    </row>
    <row r="444">
      <c r="A444" s="25" t="n">
        <v>22</v>
      </c>
      <c r="B444" s="25" t="n">
        <v>1990</v>
      </c>
    </row>
    <row r="445">
      <c r="A445" s="25" t="n">
        <v>23</v>
      </c>
      <c r="B445" s="25" t="n">
        <v>2240</v>
      </c>
    </row>
    <row r="446">
      <c r="A446" s="25" t="n">
        <v>24</v>
      </c>
      <c r="B446" s="25" t="n">
        <v>2504</v>
      </c>
    </row>
    <row r="447">
      <c r="A447" s="25" t="n">
        <v>25</v>
      </c>
      <c r="B447" s="25" t="n">
        <v>2950</v>
      </c>
    </row>
    <row r="448">
      <c r="A448" s="25" t="n">
        <v>26</v>
      </c>
      <c r="B448" s="25" t="n">
        <v>3426</v>
      </c>
    </row>
    <row r="449">
      <c r="A449" s="25" t="n">
        <v>27</v>
      </c>
      <c r="B449" s="25" t="n">
        <v>3934</v>
      </c>
    </row>
    <row r="450">
      <c r="A450" s="25" t="n">
        <v>28</v>
      </c>
      <c r="B450" s="25" t="n">
        <v>4474</v>
      </c>
    </row>
    <row r="451">
      <c r="A451" s="25" t="n">
        <v>29</v>
      </c>
      <c r="B451" s="25" t="n">
        <v>6889</v>
      </c>
    </row>
    <row r="452">
      <c r="A452" s="25" t="n">
        <v>30</v>
      </c>
      <c r="B452" s="25" t="n">
        <v>7995</v>
      </c>
    </row>
    <row r="453">
      <c r="A453" s="25" t="n">
        <v>31</v>
      </c>
      <c r="B453" s="25" t="n">
        <v>9174</v>
      </c>
    </row>
    <row r="454">
      <c r="A454" s="25" t="n">
        <v>32</v>
      </c>
      <c r="B454" s="25" t="n">
        <v>10425</v>
      </c>
    </row>
    <row r="455">
      <c r="A455" s="25" t="n">
        <v>33</v>
      </c>
      <c r="B455" s="25" t="n">
        <v>11748</v>
      </c>
    </row>
    <row r="456">
      <c r="A456" s="25" t="n">
        <v>34</v>
      </c>
      <c r="B456" s="25" t="n">
        <v>13967</v>
      </c>
    </row>
    <row r="457">
      <c r="A457" s="25" t="n">
        <v>35</v>
      </c>
      <c r="B457" s="25" t="n">
        <v>15775</v>
      </c>
    </row>
    <row r="458">
      <c r="A458" s="25" t="n">
        <v>36</v>
      </c>
      <c r="B458" s="25" t="n">
        <v>17678</v>
      </c>
    </row>
    <row r="459">
      <c r="A459" s="25" t="n">
        <v>37</v>
      </c>
      <c r="B459" s="25" t="n">
        <v>19677</v>
      </c>
    </row>
    <row r="460">
      <c r="A460" s="25" t="n">
        <v>38</v>
      </c>
      <c r="B460" s="25" t="n">
        <v>21773</v>
      </c>
    </row>
    <row r="461">
      <c r="A461" s="25" t="n">
        <v>39</v>
      </c>
      <c r="B461" s="25" t="n">
        <v>30543</v>
      </c>
    </row>
    <row r="462">
      <c r="A462" s="25" t="n">
        <v>40</v>
      </c>
      <c r="B462" s="25" t="n">
        <v>34212</v>
      </c>
    </row>
    <row r="463">
      <c r="A463" s="25" t="n">
        <v>41</v>
      </c>
      <c r="B463" s="25" t="n">
        <v>38065</v>
      </c>
    </row>
    <row r="464">
      <c r="A464" s="25" t="n">
        <v>42</v>
      </c>
      <c r="B464" s="25" t="n">
        <v>42102</v>
      </c>
    </row>
    <row r="465">
      <c r="A465" s="25" t="n">
        <v>43</v>
      </c>
      <c r="B465" s="25" t="n">
        <v>46323</v>
      </c>
    </row>
    <row r="466">
      <c r="A466" s="25" t="n">
        <v>44</v>
      </c>
      <c r="B466" s="25" t="n">
        <v>53026</v>
      </c>
    </row>
    <row r="467">
      <c r="A467" s="25" t="n">
        <v>45</v>
      </c>
      <c r="B467" s="25" t="n">
        <v>58419</v>
      </c>
    </row>
    <row r="468">
      <c r="A468" s="25" t="n">
        <v>46</v>
      </c>
      <c r="B468" s="25" t="n">
        <v>64041</v>
      </c>
    </row>
    <row r="469">
      <c r="A469" s="25" t="n">
        <v>47</v>
      </c>
      <c r="B469" s="25" t="n">
        <v>69892</v>
      </c>
    </row>
    <row r="470">
      <c r="A470" s="25" t="n">
        <v>48</v>
      </c>
      <c r="B470" s="25" t="n">
        <v>75973</v>
      </c>
    </row>
    <row r="471">
      <c r="A471" s="25" t="n">
        <v>49</v>
      </c>
      <c r="B471" s="25" t="n">
        <v>102468</v>
      </c>
    </row>
    <row r="472">
      <c r="A472" s="25" t="n">
        <v>50</v>
      </c>
      <c r="B472" s="25" t="n">
        <v>115254</v>
      </c>
    </row>
    <row r="473">
      <c r="A473" s="25" t="n">
        <v>51</v>
      </c>
      <c r="B473" s="25" t="n">
        <v>128692</v>
      </c>
    </row>
    <row r="474">
      <c r="A474" s="25" t="n">
        <v>52</v>
      </c>
      <c r="B474" s="25" t="n">
        <v>142784</v>
      </c>
    </row>
    <row r="475">
      <c r="A475" s="25" t="n">
        <v>53</v>
      </c>
      <c r="B475" s="25" t="n">
        <v>157528</v>
      </c>
    </row>
    <row r="476">
      <c r="A476" s="25" t="n">
        <v>54</v>
      </c>
      <c r="B476" s="25" t="n">
        <v>178184</v>
      </c>
    </row>
    <row r="477">
      <c r="A477" s="25" t="n">
        <v>55</v>
      </c>
      <c r="B477" s="25" t="n">
        <v>196300</v>
      </c>
    </row>
    <row r="478">
      <c r="A478" s="25" t="n">
        <v>56</v>
      </c>
      <c r="B478" s="25" t="n">
        <v>215198</v>
      </c>
    </row>
    <row r="479">
      <c r="A479" s="25" t="n">
        <v>57</v>
      </c>
      <c r="B479" s="25" t="n">
        <v>234879</v>
      </c>
    </row>
    <row r="480">
      <c r="A480" s="25" t="n">
        <v>58</v>
      </c>
      <c r="B480" s="25" t="n">
        <v>255341</v>
      </c>
    </row>
    <row r="481">
      <c r="A481" s="25" t="n">
        <v>59</v>
      </c>
      <c r="B481" s="25" t="n">
        <v>330188</v>
      </c>
    </row>
    <row r="482">
      <c r="A482" s="25" t="n">
        <v>60</v>
      </c>
      <c r="B482" s="25" t="n">
        <v>365914</v>
      </c>
    </row>
    <row r="483">
      <c r="A483" s="25" t="n">
        <v>61</v>
      </c>
      <c r="B483" s="25" t="n">
        <v>403224</v>
      </c>
    </row>
    <row r="484">
      <c r="A484" s="25" t="n">
        <v>62</v>
      </c>
      <c r="B484" s="25" t="n">
        <v>442116</v>
      </c>
    </row>
    <row r="485">
      <c r="A485" s="25" t="n">
        <v>63</v>
      </c>
      <c r="B485" s="25" t="n">
        <v>482590</v>
      </c>
    </row>
    <row r="486">
      <c r="A486" s="25" t="n">
        <v>64</v>
      </c>
      <c r="B486" s="25" t="n">
        <v>536948</v>
      </c>
    </row>
    <row r="487">
      <c r="A487" s="25" t="n">
        <v>65</v>
      </c>
      <c r="B487" s="25" t="n">
        <v>585191</v>
      </c>
    </row>
    <row r="488">
      <c r="A488" s="25" t="n">
        <v>66</v>
      </c>
      <c r="B488" s="25" t="n">
        <v>635278</v>
      </c>
    </row>
    <row r="489">
      <c r="A489" s="25" t="n">
        <v>67</v>
      </c>
      <c r="B489" s="25" t="n">
        <v>687211</v>
      </c>
    </row>
    <row r="490">
      <c r="A490" s="25" t="n">
        <v>68</v>
      </c>
      <c r="B490" s="25" t="n">
        <v>740988</v>
      </c>
    </row>
    <row r="491">
      <c r="A491" s="25" t="n">
        <v>69</v>
      </c>
      <c r="B491" s="25" t="n">
        <v>925400</v>
      </c>
    </row>
    <row r="492">
      <c r="A492" s="25" t="n">
        <v>70</v>
      </c>
      <c r="B492" s="25" t="n">
        <v>1473746</v>
      </c>
    </row>
    <row r="493">
      <c r="A493" s="25" t="n">
        <v>71</v>
      </c>
      <c r="B493" s="25" t="n">
        <v>1594058</v>
      </c>
    </row>
    <row r="494">
      <c r="A494" s="25" t="n">
        <v>72</v>
      </c>
      <c r="B494" s="25" t="n">
        <v>1718928</v>
      </c>
    </row>
    <row r="495">
      <c r="A495" s="25" t="n">
        <v>73</v>
      </c>
      <c r="B495" s="25" t="n">
        <v>1848355</v>
      </c>
    </row>
    <row r="496">
      <c r="A496" s="25" t="n">
        <v>74</v>
      </c>
      <c r="B496" s="25" t="n">
        <v>1982340</v>
      </c>
    </row>
    <row r="497">
      <c r="A497" s="25" t="n">
        <v>75</v>
      </c>
      <c r="B497" s="25" t="n">
        <v>2230113</v>
      </c>
    </row>
    <row r="498">
      <c r="A498" s="25" t="n">
        <v>76</v>
      </c>
      <c r="B498" s="25" t="n">
        <v>2386162</v>
      </c>
    </row>
    <row r="499">
      <c r="A499" s="25" t="n">
        <v>77</v>
      </c>
      <c r="B499" s="25" t="n">
        <v>2547417</v>
      </c>
    </row>
    <row r="500">
      <c r="A500" s="25" t="n">
        <v>78</v>
      </c>
      <c r="B500" s="25" t="n">
        <v>2713878</v>
      </c>
    </row>
    <row r="501">
      <c r="A501" s="25" t="n">
        <v>79</v>
      </c>
      <c r="B501" s="25" t="n">
        <v>3206160</v>
      </c>
    </row>
    <row r="502">
      <c r="A502" s="25" t="n">
        <v>80</v>
      </c>
      <c r="B502" s="25" t="n">
        <v>3681024</v>
      </c>
    </row>
    <row r="503">
      <c r="A503" s="25" t="n">
        <v>81</v>
      </c>
      <c r="B503" s="25" t="n">
        <v>4022472</v>
      </c>
    </row>
    <row r="504">
      <c r="A504" s="25" t="n">
        <v>82</v>
      </c>
      <c r="B504" s="25" t="n">
        <v>4377024</v>
      </c>
    </row>
    <row r="505">
      <c r="A505" s="25" t="n">
        <v>83</v>
      </c>
      <c r="B505" s="25" t="n">
        <v>4744680</v>
      </c>
    </row>
    <row r="506">
      <c r="A506" s="25" t="n">
        <v>84</v>
      </c>
      <c r="B506" s="25" t="n">
        <v>5125440</v>
      </c>
    </row>
    <row r="507">
      <c r="A507" s="25" t="n">
        <v>85</v>
      </c>
      <c r="B507" s="25" t="n">
        <v>5767272</v>
      </c>
    </row>
    <row r="508">
      <c r="A508" s="25" t="n">
        <v>86</v>
      </c>
      <c r="B508" s="25" t="n">
        <v>6204000</v>
      </c>
    </row>
    <row r="509">
      <c r="A509" s="25" t="n">
        <v>87</v>
      </c>
      <c r="B509" s="25" t="n">
        <v>6655464</v>
      </c>
    </row>
    <row r="510">
      <c r="A510" s="25" t="n">
        <v>88</v>
      </c>
      <c r="B510" s="25" t="n">
        <v>7121664</v>
      </c>
    </row>
    <row r="511">
      <c r="A511" s="25" t="n">
        <v>89</v>
      </c>
      <c r="B511" s="25" t="n">
        <v>7602600</v>
      </c>
    </row>
    <row r="512">
      <c r="A512" s="25" t="n">
        <v>90</v>
      </c>
      <c r="B512" s="25" t="n">
        <v>9738720</v>
      </c>
    </row>
    <row r="513">
      <c r="A513" s="25" t="n">
        <v>91</v>
      </c>
      <c r="B513" s="25" t="n">
        <v>11649960</v>
      </c>
    </row>
    <row r="514">
      <c r="A514" s="25" t="n">
        <v>92</v>
      </c>
      <c r="B514" s="25" t="n">
        <v>13643520</v>
      </c>
    </row>
    <row r="515">
      <c r="A515" s="25" t="n">
        <v>93</v>
      </c>
      <c r="B515" s="25" t="n">
        <v>18339300</v>
      </c>
    </row>
    <row r="516">
      <c r="A516" s="25" t="n">
        <v>94</v>
      </c>
      <c r="B516" s="25" t="n">
        <v>23836800</v>
      </c>
    </row>
    <row r="517">
      <c r="A517" s="25" t="n">
        <v>95</v>
      </c>
      <c r="B517" s="25" t="n">
        <v>35658000</v>
      </c>
    </row>
    <row r="518">
      <c r="A518" s="25" t="n">
        <v>96</v>
      </c>
      <c r="B518" s="25" t="n">
        <v>48687000</v>
      </c>
    </row>
    <row r="519">
      <c r="A519" s="25" t="n">
        <v>97</v>
      </c>
      <c r="B519" s="25" t="n">
        <v>58135000</v>
      </c>
    </row>
    <row r="520">
      <c r="A520" s="25" t="n">
        <v>98</v>
      </c>
      <c r="B520" s="25" t="n">
        <v>99999998</v>
      </c>
    </row>
    <row r="521">
      <c r="A521" s="25" t="n">
        <v>99</v>
      </c>
      <c r="B521" s="25" t="inlineStr">
        <is>
          <t>MAX (no further leveling)</t>
        </is>
      </c>
    </row>
  </sheetData>
  <mergeCells count="1">
    <mergeCell ref="A79:F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5" min="1" max="1"/>
    <col width="12" customWidth="1" style="25" min="2" max="3"/>
    <col width="40" customWidth="1" style="25" min="4" max="4"/>
  </cols>
  <sheetData>
    <row r="1" ht="19.5" customHeight="1" s="26">
      <c r="A1" s="27" t="inlineStr">
        <is>
          <t>Classes</t>
        </is>
      </c>
    </row>
    <row r="3" ht="15" customHeight="1" s="26">
      <c r="A3" s="29" t="inlineStr">
        <is>
          <t>Class</t>
        </is>
      </c>
      <c r="B3" s="29" t="inlineStr">
        <is>
          <t>Type</t>
        </is>
      </c>
      <c r="C3" s="29" t="inlineStr">
        <is>
          <t>Status</t>
        </is>
      </c>
      <c r="D3" s="29" t="inlineStr">
        <is>
          <t>Notes</t>
        </is>
      </c>
    </row>
    <row r="4" ht="15" customHeight="1" s="26">
      <c r="A4" s="30" t="inlineStr">
        <is>
          <t>Swordman</t>
        </is>
      </c>
      <c r="B4" s="30" t="inlineStr">
        <is>
          <t>Base</t>
        </is>
      </c>
      <c r="C4" s="38" t="inlineStr">
        <is>
          <t>Done</t>
        </is>
      </c>
      <c r="D4" s="30" t="inlineStr">
        <is>
          <t>Default starting class</t>
        </is>
      </c>
    </row>
    <row r="5" ht="15" customHeight="1" s="26">
      <c r="A5" s="30" t="inlineStr">
        <is>
          <t>Archer</t>
        </is>
      </c>
      <c r="B5" s="30" t="inlineStr">
        <is>
          <t>Base</t>
        </is>
      </c>
      <c r="C5" s="38" t="inlineStr">
        <is>
          <t>Done</t>
        </is>
      </c>
      <c r="D5" s="30" t="n"/>
    </row>
    <row r="6" ht="15" customHeight="1" s="26">
      <c r="A6" s="30" t="inlineStr">
        <is>
          <t>Merchant</t>
        </is>
      </c>
      <c r="B6" s="30" t="inlineStr">
        <is>
          <t>Base</t>
        </is>
      </c>
      <c r="C6" s="38" t="inlineStr">
        <is>
          <t>Done</t>
        </is>
      </c>
      <c r="D6" s="30" t="n"/>
    </row>
    <row r="7" ht="15" customHeight="1" s="26">
      <c r="A7" s="30" t="inlineStr">
        <is>
          <t>Acolyte</t>
        </is>
      </c>
      <c r="B7" s="30" t="inlineStr">
        <is>
          <t>Base</t>
        </is>
      </c>
      <c r="C7" s="38" t="inlineStr">
        <is>
          <t>Done</t>
        </is>
      </c>
      <c r="D7" s="30" t="n"/>
    </row>
    <row r="8" ht="15" customHeight="1" s="26">
      <c r="A8" s="30" t="inlineStr">
        <is>
          <t>Thief</t>
        </is>
      </c>
      <c r="B8" s="30" t="inlineStr">
        <is>
          <t>Base</t>
        </is>
      </c>
      <c r="C8" s="38" t="inlineStr">
        <is>
          <t>Done</t>
        </is>
      </c>
      <c r="D8" s="30" t="n"/>
    </row>
    <row r="9" ht="15" customHeight="1" s="26">
      <c r="A9" s="30" t="inlineStr">
        <is>
          <t>Mage</t>
        </is>
      </c>
      <c r="B9" s="30" t="inlineStr">
        <is>
          <t>Base</t>
        </is>
      </c>
      <c r="C9" s="38" t="inlineStr">
        <is>
          <t>Done</t>
        </is>
      </c>
      <c r="D9" s="30" t="n"/>
    </row>
    <row r="10" ht="15" customHeight="1" s="26">
      <c r="A10" s="30" t="inlineStr">
        <is>
          <t>(2nd Job classes)</t>
        </is>
      </c>
      <c r="B10" s="30" t="inlineStr">
        <is>
          <t>Evolution</t>
        </is>
      </c>
      <c r="C10" s="39" t="inlineStr">
        <is>
          <t>Planned</t>
        </is>
      </c>
      <c r="D10" s="30" t="inlineStr">
        <is>
          <t>Promotion system not yet designed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2" customWidth="1" style="25" min="2" max="2"/>
    <col width="60" customWidth="1" style="25" min="3" max="3"/>
  </cols>
  <sheetData>
    <row r="1" ht="19.5" customHeight="1" s="26">
      <c r="A1" s="27" t="inlineStr">
        <is>
          <t>Equipment Slots</t>
        </is>
      </c>
    </row>
    <row r="3" ht="15" customHeight="1" s="26">
      <c r="A3" s="29" t="inlineStr">
        <is>
          <t>Slot</t>
        </is>
      </c>
      <c r="B3" s="29" t="inlineStr">
        <is>
          <t>Capacity</t>
        </is>
      </c>
      <c r="C3" s="29" t="inlineStr">
        <is>
          <t>Notes</t>
        </is>
      </c>
    </row>
    <row r="4" ht="15" customHeight="1" s="26">
      <c r="A4" s="30" t="inlineStr">
        <is>
          <t>Head Top</t>
        </is>
      </c>
      <c r="B4" s="30" t="inlineStr">
        <is>
          <t>1</t>
        </is>
      </c>
      <c r="C4" s="30" t="inlineStr">
        <is>
          <t>Can be combined with Head Face by a multi-slot item (e.g. full helmet)</t>
        </is>
      </c>
    </row>
    <row r="5" ht="15" customHeight="1" s="26">
      <c r="A5" s="30" t="inlineStr">
        <is>
          <t>Head Face</t>
        </is>
      </c>
      <c r="B5" s="30" t="inlineStr">
        <is>
          <t>1</t>
        </is>
      </c>
      <c r="C5" s="30" t="n"/>
    </row>
    <row r="6" ht="15" customHeight="1" s="26">
      <c r="A6" s="30" t="inlineStr">
        <is>
          <t>Body</t>
        </is>
      </c>
      <c r="B6" s="30" t="inlineStr">
        <is>
          <t>1</t>
        </is>
      </c>
      <c r="C6" s="30" t="n"/>
    </row>
    <row r="7" ht="15" customHeight="1" s="26">
      <c r="A7" s="30" t="inlineStr">
        <is>
          <t>Left Hand</t>
        </is>
      </c>
      <c r="B7" s="30" t="inlineStr">
        <is>
          <t>1</t>
        </is>
      </c>
      <c r="C7" s="30" t="inlineStr">
        <is>
          <t>Two-handed weapons occupy both Left Hand and Right Hand</t>
        </is>
      </c>
    </row>
    <row r="8" ht="15" customHeight="1" s="26">
      <c r="A8" s="30" t="inlineStr">
        <is>
          <t>Right Hand</t>
        </is>
      </c>
      <c r="B8" s="30" t="inlineStr">
        <is>
          <t>1</t>
        </is>
      </c>
      <c r="C8" s="30" t="n"/>
    </row>
    <row r="9" ht="15" customHeight="1" s="26">
      <c r="A9" s="30" t="inlineStr">
        <is>
          <t>Pants</t>
        </is>
      </c>
      <c r="B9" s="30" t="inlineStr">
        <is>
          <t>1</t>
        </is>
      </c>
      <c r="C9" s="30" t="n"/>
    </row>
    <row r="10" ht="15" customHeight="1" s="26">
      <c r="A10" s="30" t="inlineStr">
        <is>
          <t>Boots</t>
        </is>
      </c>
      <c r="B10" s="30" t="inlineStr">
        <is>
          <t>1</t>
        </is>
      </c>
      <c r="C10" s="30" t="n"/>
    </row>
    <row r="11" ht="23.25" customHeight="1" s="26">
      <c r="A11" s="30" t="inlineStr">
        <is>
          <t>Accessory</t>
        </is>
      </c>
      <c r="B11" s="30" t="inlineStr">
        <is>
          <t>2</t>
        </is>
      </c>
      <c r="C11" s="30" t="inlineStr">
        <is>
          <t>Two concurrent items; equipping a third auto-evicts the longest-equipped one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2" customWidth="1" style="25" min="2" max="2"/>
    <col width="14" customWidth="1" style="25" min="3" max="3"/>
    <col width="9" customWidth="1" style="25" min="4" max="4"/>
    <col width="12" customWidth="1" style="25" min="5" max="5"/>
    <col width="16" customWidth="1" style="25" min="6" max="6"/>
    <col width="6" customWidth="1" style="25" min="7" max="12"/>
    <col width="34" customWidth="1" style="25" min="13" max="13"/>
  </cols>
  <sheetData>
    <row r="1" ht="19.5" customHeight="1" s="26">
      <c r="A1" s="27" t="inlineStr">
        <is>
          <t>Test Items — Fill-In Template</t>
        </is>
      </c>
    </row>
    <row r="2" ht="15" customHeight="1" s="26">
      <c r="A2" s="28" t="inlineStr">
        <is>
          <t>Columns match ItemDefinition's fields. Row 5 (yellow) is an example — replace with real data from your item assets. Delete the example row before treating this as final data.</t>
        </is>
      </c>
    </row>
    <row r="4" ht="26.25" customHeight="1" s="26">
      <c r="A4" s="29" t="inlineStr">
        <is>
          <t>Item Name</t>
        </is>
      </c>
      <c r="B4" s="29" t="inlineStr">
        <is>
          <t>Item Type</t>
        </is>
      </c>
      <c r="C4" s="29" t="inlineStr">
        <is>
          <t>Required Slot(s)</t>
        </is>
      </c>
      <c r="D4" s="29" t="inlineStr">
        <is>
          <t>Weight</t>
        </is>
      </c>
      <c r="E4" s="29" t="inlineStr">
        <is>
          <t>Required Level</t>
        </is>
      </c>
      <c r="F4" s="29" t="inlineStr">
        <is>
          <t>Allowed Classes</t>
        </is>
      </c>
      <c r="G4" s="29" t="inlineStr">
        <is>
          <t>STR</t>
        </is>
      </c>
      <c r="H4" s="29" t="inlineStr">
        <is>
          <t>AGI</t>
        </is>
      </c>
      <c r="I4" s="29" t="inlineStr">
        <is>
          <t>VIT</t>
        </is>
      </c>
      <c r="J4" s="29" t="inlineStr">
        <is>
          <t>INT</t>
        </is>
      </c>
      <c r="K4" s="29" t="inlineStr">
        <is>
          <t>DEX</t>
        </is>
      </c>
      <c r="L4" s="29" t="inlineStr">
        <is>
          <t>LUK</t>
        </is>
      </c>
      <c r="M4" s="29" t="inlineStr">
        <is>
          <t>Description</t>
        </is>
      </c>
    </row>
    <row r="5" ht="15" customHeight="1" s="26">
      <c r="A5" s="48" t="inlineStr">
        <is>
          <t>Example Sword</t>
        </is>
      </c>
      <c r="B5" s="48" t="inlineStr">
        <is>
          <t>Equipment</t>
        </is>
      </c>
      <c r="C5" s="48" t="inlineStr">
        <is>
          <t>RightHand</t>
        </is>
      </c>
      <c r="D5" s="48" t="n">
        <v>3.5</v>
      </c>
      <c r="E5" s="48" t="n">
        <v>1</v>
      </c>
      <c r="F5" s="48" t="inlineStr">
        <is>
          <t>Swordman</t>
        </is>
      </c>
      <c r="G5" s="48" t="n">
        <v>5</v>
      </c>
      <c r="H5" s="48" t="n">
        <v>0</v>
      </c>
      <c r="I5" s="48" t="n">
        <v>0</v>
      </c>
      <c r="J5" s="48" t="n">
        <v>0</v>
      </c>
      <c r="K5" s="48" t="n">
        <v>0</v>
      </c>
      <c r="L5" s="48" t="n">
        <v>0</v>
      </c>
      <c r="M5" s="48" t="inlineStr">
        <is>
          <t>Sample row — replace with real data</t>
        </is>
      </c>
    </row>
    <row r="6" ht="15" customHeight="1" s="26">
      <c r="A6" s="30" t="inlineStr">
        <is>
          <t>TestArmor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</row>
    <row r="7" ht="15" customHeight="1" s="26">
      <c r="A7" s="30" t="inlineStr">
        <is>
          <t>TestBoots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</row>
    <row r="8" ht="15" customHeight="1" s="26">
      <c r="A8" s="30" t="inlineStr">
        <is>
          <t>TestDualHand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</row>
    <row r="9" ht="15" customHeight="1" s="26">
      <c r="A9" s="30" t="inlineStr">
        <is>
          <t>TestFace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</row>
    <row r="10" ht="15" customHeight="1" s="26">
      <c r="A10" s="30" t="inlineStr">
        <is>
          <t>TestHead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</row>
    <row r="11" ht="15" customHeight="1" s="26">
      <c r="A11" s="30" t="inlineStr">
        <is>
          <t>TestItem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15" customHeight="1" s="26">
      <c r="A12" s="30" t="inlineStr">
        <is>
          <t>TestLegs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</row>
    <row r="13" ht="15" customHeight="1" s="26">
      <c r="A13" s="30" t="inlineStr">
        <is>
          <t>TestNecklace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</row>
    <row r="14" ht="15" customHeight="1" s="26">
      <c r="A14" s="30" t="inlineStr">
        <is>
          <t>TestRing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</row>
    <row r="15" ht="15" customHeight="1" s="26">
      <c r="A15" s="30" t="inlineStr">
        <is>
          <t>TestWeapon</t>
        </is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0" customWidth="1" style="25" min="2" max="3"/>
    <col width="8" customWidth="1" style="25" min="4" max="5"/>
    <col width="12" customWidth="1" style="25" min="6" max="7"/>
    <col width="14" customWidth="1" style="25" min="8" max="8"/>
    <col width="12" customWidth="1" style="25" min="9" max="11"/>
  </cols>
  <sheetData>
    <row r="1" ht="19.5" customHeight="1" s="26">
      <c r="A1" s="27" t="inlineStr">
        <is>
          <t>Enemy Data — Fill-In Template</t>
        </is>
      </c>
    </row>
    <row r="2" ht="15" customHeight="1" s="26">
      <c r="A2" s="28" t="inlineStr">
        <is>
          <t>Columns match CharacterStatsDefinition and EnemyController's fields. Row 5 (yellow) is an example — replace with real data. Delete the example row before treating this as final data.</t>
        </is>
      </c>
    </row>
    <row r="4" ht="26.25" customHeight="1" s="26">
      <c r="A4" s="29" t="inlineStr">
        <is>
          <t>Enemy Name</t>
        </is>
      </c>
      <c r="B4" s="29" t="inlineStr">
        <is>
          <t>Max HP</t>
        </is>
      </c>
      <c r="C4" s="29" t="inlineStr">
        <is>
          <t>Max Mana</t>
        </is>
      </c>
      <c r="D4" s="29" t="inlineStr">
        <is>
          <t>ATK</t>
        </is>
      </c>
      <c r="E4" s="29" t="inlineStr">
        <is>
          <t>DEF</t>
        </is>
      </c>
      <c r="F4" s="29" t="inlineStr">
        <is>
          <t>Move Speed</t>
        </is>
      </c>
      <c r="G4" s="29" t="inlineStr">
        <is>
          <t>XP Reward</t>
        </is>
      </c>
      <c r="H4" s="29" t="inlineStr">
        <is>
          <t>Job XP Reward</t>
        </is>
      </c>
      <c r="I4" s="29" t="inlineStr">
        <is>
          <t>Aggro Range</t>
        </is>
      </c>
      <c r="J4" s="29" t="inlineStr">
        <is>
          <t>Leash Range</t>
        </is>
      </c>
      <c r="K4" s="29" t="inlineStr">
        <is>
          <t>Attack Range</t>
        </is>
      </c>
    </row>
    <row r="5" ht="15" customHeight="1" s="26">
      <c r="A5" s="48" t="inlineStr">
        <is>
          <t>Example Poring</t>
        </is>
      </c>
      <c r="B5" s="48" t="n">
        <v>30</v>
      </c>
      <c r="C5" s="48" t="n">
        <v>0</v>
      </c>
      <c r="D5" s="48" t="n">
        <v>5</v>
      </c>
      <c r="E5" s="48" t="n">
        <v>1</v>
      </c>
      <c r="F5" s="48" t="n">
        <v>2</v>
      </c>
      <c r="G5" s="48" t="n">
        <v>10</v>
      </c>
      <c r="H5" s="48" t="n">
        <v>5</v>
      </c>
      <c r="I5" s="48" t="n">
        <v>5</v>
      </c>
      <c r="J5" s="48" t="n">
        <v>10</v>
      </c>
      <c r="K5" s="48" t="n">
        <v>1.5</v>
      </c>
    </row>
    <row r="6" ht="15" customHeight="1" s="26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5" min="1" max="1"/>
    <col width="16" customWidth="1" style="25" min="2" max="2"/>
    <col width="12" customWidth="1" style="25" min="3" max="5"/>
    <col width="14" customWidth="1" style="25" min="6" max="6"/>
    <col width="30" customWidth="1" style="25" min="7" max="7"/>
    <col width="40" customWidth="1" style="25" min="8" max="8"/>
  </cols>
  <sheetData>
    <row r="1" ht="19.5" customHeight="1" s="26">
      <c r="A1" s="27" t="inlineStr">
        <is>
          <t>Skills — Test Content</t>
        </is>
      </c>
    </row>
    <row r="2" ht="15" customHeight="1" s="26">
      <c r="A2" s="28" t="inlineStr">
        <is>
          <t>The four test skills created to exercise both effect types (Damage/Heal) and both target scopes (Self/Enemy).</t>
        </is>
      </c>
    </row>
    <row r="4" ht="26.25" customHeight="1" s="26">
      <c r="A4" s="29" t="inlineStr">
        <is>
          <t>Skill</t>
        </is>
      </c>
      <c r="B4" s="29" t="inlineStr">
        <is>
          <t>Allowed Class(es)</t>
        </is>
      </c>
      <c r="C4" s="29" t="inlineStr">
        <is>
          <t>Effect Type</t>
        </is>
      </c>
      <c r="D4" s="29" t="inlineStr">
        <is>
          <t>Target Type</t>
        </is>
      </c>
      <c r="E4" s="29" t="inlineStr">
        <is>
          <t>Damage Type</t>
        </is>
      </c>
      <c r="F4" s="29" t="inlineStr">
        <is>
          <t>Heal Amount</t>
        </is>
      </c>
      <c r="G4" s="29" t="inlineStr">
        <is>
          <t>Range</t>
        </is>
      </c>
      <c r="H4" s="29" t="inlineStr">
        <is>
          <t>Notes</t>
        </is>
      </c>
    </row>
    <row r="5" ht="15" customHeight="1" s="26">
      <c r="A5" s="30" t="inlineStr">
        <is>
          <t>BasicHeal</t>
        </is>
      </c>
      <c r="B5" s="30" t="inlineStr">
        <is>
          <t>Any</t>
        </is>
      </c>
      <c r="C5" s="30" t="inlineStr">
        <is>
          <t>Heal</t>
        </is>
      </c>
      <c r="D5" s="30" t="inlineStr">
        <is>
          <t>Self</t>
        </is>
      </c>
      <c r="E5" s="30" t="inlineStr">
        <is>
          <t>-</t>
        </is>
      </c>
      <c r="F5" s="30" t="inlineStr">
        <is>
          <t>10 (flat)</t>
        </is>
      </c>
      <c r="G5" s="30" t="inlineStr">
        <is>
          <t>N/A</t>
        </is>
      </c>
      <c r="H5" s="30" t="inlineStr">
        <is>
          <t>Future: scale with INT</t>
        </is>
      </c>
    </row>
    <row r="6" ht="23.25" customHeight="1" s="26">
      <c r="A6" s="30" t="inlineStr">
        <is>
          <t>StrongHeal</t>
        </is>
      </c>
      <c r="B6" s="30" t="inlineStr">
        <is>
          <t>Acolyte</t>
        </is>
      </c>
      <c r="C6" s="30" t="inlineStr">
        <is>
          <t>Heal</t>
        </is>
      </c>
      <c r="D6" s="30" t="inlineStr">
        <is>
          <t>Ally</t>
        </is>
      </c>
      <c r="E6" s="30" t="inlineStr">
        <is>
          <t>-</t>
        </is>
      </c>
      <c r="F6" s="30" t="inlineStr">
        <is>
          <t>25 (flat)</t>
        </is>
      </c>
      <c r="G6" s="30" t="inlineStr">
        <is>
          <t>N/A</t>
        </is>
      </c>
      <c r="H6" s="30" t="inlineStr">
        <is>
          <t>Ally targeting not implemented yet — currently heals self only</t>
        </is>
      </c>
    </row>
    <row r="7" ht="15" customHeight="1" s="26">
      <c r="A7" s="30" t="inlineStr">
        <is>
          <t>Bash</t>
        </is>
      </c>
      <c r="B7" s="30" t="inlineStr">
        <is>
          <t>Swordman</t>
        </is>
      </c>
      <c r="C7" s="30" t="inlineStr">
        <is>
          <t>Damage</t>
        </is>
      </c>
      <c r="D7" s="30" t="inlineStr">
        <is>
          <t>Enemy</t>
        </is>
      </c>
      <c r="E7" s="30" t="inlineStr">
        <is>
          <t>Physical</t>
        </is>
      </c>
      <c r="F7" s="30" t="inlineStr">
        <is>
          <t>-</t>
        </is>
      </c>
      <c r="G7" s="30" t="inlineStr">
        <is>
          <t>Short (matches basic attack range)</t>
        </is>
      </c>
      <c r="H7" s="30" t="n"/>
    </row>
    <row r="8" ht="23.25" customHeight="1" s="26">
      <c r="A8" s="30" t="inlineStr">
        <is>
          <t>Snipe</t>
        </is>
      </c>
      <c r="B8" s="30" t="inlineStr">
        <is>
          <t>Archer</t>
        </is>
      </c>
      <c r="C8" s="30" t="inlineStr">
        <is>
          <t>Damage</t>
        </is>
      </c>
      <c r="D8" s="30" t="inlineStr">
        <is>
          <t>Enemy</t>
        </is>
      </c>
      <c r="E8" s="30" t="inlineStr">
        <is>
          <t>Physical</t>
        </is>
      </c>
      <c r="F8" s="30" t="inlineStr">
        <is>
          <t>-</t>
        </is>
      </c>
      <c r="G8" s="30" t="inlineStr">
        <is>
          <t>Long (well beyond basic attack range)</t>
        </is>
      </c>
      <c r="H8" s="30" t="inlineStr">
        <is>
          <t>Future: range should scale with equipped weapon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44" customWidth="1" style="25" min="2" max="2"/>
    <col width="14" customWidth="1" style="25" min="3" max="3"/>
  </cols>
  <sheetData>
    <row r="1" ht="19.5" customHeight="1" s="26">
      <c r="A1" s="27" t="inlineStr">
        <is>
          <t>Roadmap</t>
        </is>
      </c>
    </row>
    <row r="3" ht="15" customHeight="1" s="26">
      <c r="A3" s="29" t="inlineStr">
        <is>
          <t>Priority</t>
        </is>
      </c>
      <c r="B3" s="29" t="inlineStr">
        <is>
          <t>Item</t>
        </is>
      </c>
      <c r="C3" s="29" t="inlineStr">
        <is>
          <t>Term</t>
        </is>
      </c>
    </row>
    <row r="4" ht="15" customHeight="1" s="26">
      <c r="A4" s="30" t="n">
        <v>1</v>
      </c>
      <c r="B4" s="30" t="inlineStr">
        <is>
          <t>Fixed: Save / persistence system implemented (see Feature Checklist)</t>
        </is>
      </c>
      <c r="C4" s="30" t="inlineStr">
        <is>
          <t>Near-term</t>
        </is>
      </c>
    </row>
    <row r="5" ht="23.25" customHeight="1" s="26">
      <c r="A5" s="30" t="n">
        <v>2</v>
      </c>
      <c r="B5" s="30" t="inlineStr">
        <is>
          <t>Additional mob variety (more content beyond Poring/Poporing)</t>
        </is>
      </c>
      <c r="C5" s="30" t="inlineStr">
        <is>
          <t>Near-term</t>
        </is>
      </c>
    </row>
    <row r="6" ht="15" customHeight="1" s="26">
      <c r="A6" s="30" t="n">
        <v>3</v>
      </c>
      <c r="B6" s="30" t="inlineStr">
        <is>
          <t>Fixed: Skill buffs / debuffs implemented (BuffController, see Feature Checklist)</t>
        </is>
      </c>
      <c r="C6" s="30" t="inlineStr">
        <is>
          <t>Mid-term</t>
        </is>
      </c>
    </row>
    <row r="7" ht="15" customHeight="1" s="26">
      <c r="A7" s="30" t="n">
        <v>4</v>
      </c>
      <c r="B7" s="30" t="inlineStr">
        <is>
          <t>Ground-targeted AoE skills (no fixed target)</t>
        </is>
      </c>
      <c r="C7" s="30" t="inlineStr">
        <is>
          <t>Mid-term</t>
        </is>
      </c>
    </row>
    <row r="8" ht="15" customHeight="1" s="26">
      <c r="A8" s="30" t="n">
        <v>5</v>
      </c>
      <c r="B8" s="30" t="inlineStr">
        <is>
          <t>Fixed: Elemental damage and enemy resistances implemented (see Feature Checklist)</t>
        </is>
      </c>
      <c r="C8" s="30" t="inlineStr">
        <is>
          <t>Mid-term</t>
        </is>
      </c>
    </row>
    <row r="9" ht="15" customHeight="1" s="26">
      <c r="A9" s="30" t="n">
        <v>6</v>
      </c>
      <c r="B9" s="30" t="inlineStr">
        <is>
          <t>Quest system</t>
        </is>
      </c>
      <c r="C9" s="30" t="inlineStr">
        <is>
          <t>Mid-term</t>
        </is>
      </c>
    </row>
    <row r="10" ht="15" customHeight="1" s="26">
      <c r="A10" s="30" t="n">
        <v>7</v>
      </c>
      <c r="B10" s="30" t="inlineStr">
        <is>
          <t>Shops / economy (Zeny)</t>
        </is>
      </c>
      <c r="C10" s="30" t="inlineStr">
        <is>
          <t>Mid-term</t>
        </is>
      </c>
    </row>
    <row r="11" ht="15" customHeight="1" s="26">
      <c r="A11" s="30" t="n">
        <v>8</v>
      </c>
      <c r="B11" s="30" t="inlineStr">
        <is>
          <t>Class evolution / promotion</t>
        </is>
      </c>
      <c r="C11" s="30" t="inlineStr">
        <is>
          <t>Mid-term</t>
        </is>
      </c>
    </row>
    <row r="12" ht="15" customHeight="1" s="26">
      <c r="A12" s="30" t="n">
        <v>9</v>
      </c>
      <c r="B12" s="30" t="inlineStr">
        <is>
          <t>Fixed: Ammo item type implemented (see Feature Checklist)</t>
        </is>
      </c>
      <c r="C12" s="30" t="inlineStr">
        <is>
          <t>Mid-term</t>
        </is>
      </c>
    </row>
    <row r="13" ht="15" customHeight="1" s="26">
      <c r="A13" s="30" t="n">
        <v>10</v>
      </c>
      <c r="B13" s="30" t="inlineStr">
        <is>
          <t>Authoritative multiplayer server</t>
        </is>
      </c>
      <c r="C13" s="30" t="inlineStr">
        <is>
          <t>Long-term</t>
        </is>
      </c>
    </row>
    <row r="14" ht="15" customHeight="1" s="26">
      <c r="A14" s="30" t="n">
        <v>11</v>
      </c>
      <c r="B14" s="30" t="inlineStr">
        <is>
          <t>Revisit grid-based (SQM) movement</t>
        </is>
      </c>
      <c r="C14" s="30" t="inlineStr">
        <is>
          <t>Long-term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2026-07-25T06:55:13Z</dcterms:created>
  <dcterms:modified xmlns:dcterms="http://purl.org/dc/terms/" xmlns:xsi="http://www.w3.org/2001/XMLSchema-instance" xsi:type="dcterms:W3CDTF">2026-09-23T06:40:45Z</dcterms:modified>
  <cp:revision>1</cp:revision>
</cp:coreProperties>
</file>