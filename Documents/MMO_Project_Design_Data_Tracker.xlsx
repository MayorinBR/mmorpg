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Feature Checklist" sheetId="2" state="visible" r:id="rId4"/>
    <sheet name="Base Stats" sheetId="3" state="visible" r:id="rId5"/>
    <sheet name="Sub-Stats &amp; Formulas" sheetId="4" state="visible" r:id="rId6"/>
    <sheet name="Quasi-Stats" sheetId="5" state="visible" r:id="rId7"/>
    <sheet name="Leveling &amp; Stat Costs" sheetId="6" state="visible" r:id="rId8"/>
    <sheet name="Classes" sheetId="7" state="visible" r:id="rId9"/>
    <sheet name="Equipment Slots" sheetId="8" state="visible" r:id="rId10"/>
    <sheet name="Test Items (Template)" sheetId="9" state="visible" r:id="rId11"/>
    <sheet name="Enemy Data (Template)" sheetId="10" state="visible" r:id="rId12"/>
    <sheet name="Skills" sheetId="11" state="visible" r:id="rId13"/>
    <sheet name="Roadmap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<sst xmlns="http://schemas.openxmlformats.org/spreadsheetml/2006/main" count="583" uniqueCount="408">
  <si>
    <t xml:space="preserve">MMO Project — Design Data Tracker</t>
  </si>
  <si>
    <t xml:space="preserve">Companion spreadsheet to the Game Design Document (Word).</t>
  </si>
  <si>
    <t xml:space="preserve">Last updated: September 7, 2026</t>
  </si>
  <si>
    <t xml:space="preserve">Sheet</t>
  </si>
  <si>
    <t xml:space="preserve">Purpose</t>
  </si>
  <si>
    <t xml:space="preserve">Feature Checklist</t>
  </si>
  <si>
    <t xml:space="preserve">Implementation status of every system, by category. Live counts below.</t>
  </si>
  <si>
    <t xml:space="preserve">Base Stats</t>
  </si>
  <si>
    <t xml:space="preserve">The six base stats: full effect reference vs. what's modeled today.</t>
  </si>
  <si>
    <t xml:space="preserve">Sub-Stats &amp; Formulas</t>
  </si>
  <si>
    <t xml:space="preserve">Derived combat stats and the exact formulas currently implemented, including hit-chance/accuracy resolution and physical/magical damage mitigation.</t>
  </si>
  <si>
    <t xml:space="preserve">Quasi-Stats</t>
  </si>
  <si>
    <t xml:space="preserve">Values not shown in a stat panel but that still measurably affect gameplay.</t>
  </si>
  <si>
    <t xml:space="preserve">Leveling &amp; Stat Costs</t>
  </si>
  <si>
    <t xml:space="preserve">Real RO formulas for stat points per level and stat raise cost — now implemented in code exactly as documented here.</t>
  </si>
  <si>
    <t xml:space="preserve">Classes</t>
  </si>
  <si>
    <t xml:space="preserve">The six base classes and evolution status.</t>
  </si>
  <si>
    <t xml:space="preserve">Equipment Slots</t>
  </si>
  <si>
    <t xml:space="preserve">Slot list, capacity, and multi-slot rules.</t>
  </si>
  <si>
    <t xml:space="preserve">Test Items (Template)</t>
  </si>
  <si>
    <t xml:space="preserve">Fill-in template matching ItemDefinition's fields, with one example row.</t>
  </si>
  <si>
    <t xml:space="preserve">Enemy Data (Template)</t>
  </si>
  <si>
    <t xml:space="preserve">Fill-in template matching CharacterStatsDefinition/EnemyController fields.</t>
  </si>
  <si>
    <t xml:space="preserve">Skills</t>
  </si>
  <si>
    <t xml:space="preserve">The four test skills, covering both effect types (Damage/Heal) and target scopes.</t>
  </si>
  <si>
    <t xml:space="preserve">Roadmap</t>
  </si>
  <si>
    <t xml:space="preserve">Prioritized list of planned work, by term.</t>
  </si>
  <si>
    <t xml:space="preserve">Legend</t>
  </si>
  <si>
    <t xml:space="preserve">Done</t>
  </si>
  <si>
    <t xml:space="preserve">Partial</t>
  </si>
  <si>
    <t xml:space="preserve">Planned</t>
  </si>
  <si>
    <t xml:space="preserve">Out of scope (documented, not planned)</t>
  </si>
  <si>
    <t xml:space="preserve">Example / fill-in row</t>
  </si>
  <si>
    <t xml:space="preserve">Category</t>
  </si>
  <si>
    <t xml:space="preserve">Feature</t>
  </si>
  <si>
    <t xml:space="preserve">Status</t>
  </si>
  <si>
    <t xml:space="preserve">Notes</t>
  </si>
  <si>
    <t xml:space="preserve">Movement &amp; Camera</t>
  </si>
  <si>
    <t xml:space="preserve">WASD / gamepad / click-to-move, camera-relative</t>
  </si>
  <si>
    <t xml:space="preserve">Isometric camera: rotation, zoom, smooth follow</t>
  </si>
  <si>
    <t xml:space="preserve">Grid-based (SQM) movement</t>
  </si>
  <si>
    <t xml:space="preserve">Prototyped, deliberately deferred — see GDD 6.4</t>
  </si>
  <si>
    <t xml:space="preserve">Character Stats</t>
  </si>
  <si>
    <t xml:space="preserve">Base stats (STR/AGI/VIT/INT/DEX/LUK)</t>
  </si>
  <si>
    <t xml:space="preserve">Sub-stats (ATK/MATK/DEF/MDEF/HIT/FLEE/CRIT)</t>
  </si>
  <si>
    <t xml:space="preserve">See Sub-Stats &amp; Formulas sheet</t>
  </si>
  <si>
    <t xml:space="preserve">ASPD</t>
  </si>
  <si>
    <t xml:space="preserve">Depends on weapon/class systems not built yet</t>
  </si>
  <si>
    <t xml:space="preserve">Stat point allocation UI</t>
  </si>
  <si>
    <t xml:space="preserve">Real stat point cost curve</t>
  </si>
  <si>
    <t xml:space="preserve">Placeholder: flat 1 point per increase</t>
  </si>
  <si>
    <t xml:space="preserve">Progression</t>
  </si>
  <si>
    <t xml:space="preserve">Base Level &amp; experience</t>
  </si>
  <si>
    <t xml:space="preserve">Job Level &amp; experience</t>
  </si>
  <si>
    <t xml:space="preserve">Grants skill points; no skills to spend them on yet</t>
  </si>
  <si>
    <t xml:space="preserve">Real experience curves</t>
  </si>
  <si>
    <t xml:space="preserve">Placeholder: linear formula</t>
  </si>
  <si>
    <t xml:space="preserve">Class system (6 base classes)</t>
  </si>
  <si>
    <t xml:space="preserve">Class evolution / promotion</t>
  </si>
  <si>
    <t xml:space="preserve">Combat</t>
  </si>
  <si>
    <t xml:space="preserve">Target selection + auto-attack</t>
  </si>
  <si>
    <t xml:space="preserve">Enemy AI (Idle/Chase/Attack, aggro/leash)</t>
  </si>
  <si>
    <t xml:space="preserve">Damage calculation (ATK vs DEF)</t>
  </si>
  <si>
    <t xml:space="preserve">Hit/Flee resolution in damage</t>
  </si>
  <si>
    <t xml:space="preserve">Attacks currently always connect</t>
  </si>
  <si>
    <t xml:space="preserve">Player death &amp; respawn</t>
  </si>
  <si>
    <t xml:space="preserve">Enemy death &amp; respawn</t>
  </si>
  <si>
    <t xml:space="preserve">Skill system</t>
  </si>
  <si>
    <t xml:space="preserve">Damage (Physical/Magical) and Heal effects, class-restricted, hotbar-cast</t>
  </si>
  <si>
    <t xml:space="preserve">Skill buffs / debuffs (temporary stat modifiers)</t>
  </si>
  <si>
    <t xml:space="preserve">See Roadmap sheet for architecture notes</t>
  </si>
  <si>
    <t xml:space="preserve">Ground-targeted AoE skills (no fixed target)</t>
  </si>
  <si>
    <t xml:space="preserve">e.g. Fire Wall, AoE heal zone</t>
  </si>
  <si>
    <t xml:space="preserve">Elemental damage and enemy resistances</t>
  </si>
  <si>
    <t xml:space="preserve">Fire/Ice/Holy/Dark/Wind/Electric etc.</t>
  </si>
  <si>
    <t xml:space="preserve">Mana (SP)</t>
  </si>
  <si>
    <t xml:space="preserve">Now consumed by the skill system</t>
  </si>
  <si>
    <t xml:space="preserve">Items &amp; Equipment</t>
  </si>
  <si>
    <t xml:space="preserve">Item data model (Consumable/Material/Equipment)</t>
  </si>
  <si>
    <t xml:space="preserve">Ammo item type</t>
  </si>
  <si>
    <t xml:space="preserve">Needs stack-while-equipped handling</t>
  </si>
  <si>
    <t xml:space="preserve">Equipment slots (9, multi-slot items)</t>
  </si>
  <si>
    <t xml:space="preserve">Equip level/class requirement validation</t>
  </si>
  <si>
    <t xml:space="preserve">Weight-based inventory</t>
  </si>
  <si>
    <t xml:space="preserve">Paginated inventory UI</t>
  </si>
  <si>
    <t xml:space="preserve">Loot tables &amp; drops</t>
  </si>
  <si>
    <t xml:space="preserve">Spread-out multi-drop placement</t>
  </si>
  <si>
    <t xml:space="preserve">Click-to-collect pickups</t>
  </si>
  <si>
    <t xml:space="preserve">Item tooltips</t>
  </si>
  <si>
    <t xml:space="preserve">Inventory, equipped, and world-space items</t>
  </si>
  <si>
    <t xml:space="preserve">Currency (Zeny) system</t>
  </si>
  <si>
    <t xml:space="preserve">Add/spend API exists; no in-game source yet</t>
  </si>
  <si>
    <t xml:space="preserve">Shops / economy</t>
  </si>
  <si>
    <t xml:space="preserve">UI</t>
  </si>
  <si>
    <t xml:space="preserve">Main HUD</t>
  </si>
  <si>
    <t xml:space="preserve">Name, HP/SP, level/XP, weight, Zeny, class</t>
  </si>
  <si>
    <t xml:space="preserve">Window system (drag, cascade, minimize/close)</t>
  </si>
  <si>
    <t xml:space="preserve">Keyboard shortcuts for windows</t>
  </si>
  <si>
    <t xml:space="preserve">I / C / E</t>
  </si>
  <si>
    <t xml:space="preserve">World</t>
  </si>
  <si>
    <t xml:space="preserve">Fixed shared maps</t>
  </si>
  <si>
    <t xml:space="preserve">NavMesh pathfinding</t>
  </si>
  <si>
    <t xml:space="preserve">Technical</t>
  </si>
  <si>
    <t xml:space="preserve">Assembly Definitions (11 assemblies)</t>
  </si>
  <si>
    <t xml:space="preserve">Git / GitHub / Sourcetree workflow</t>
  </si>
  <si>
    <t xml:space="preserve">Save / persistence system</t>
  </si>
  <si>
    <t xml:space="preserve">Largest known gap</t>
  </si>
  <si>
    <t xml:space="preserve">Authoritative server / multiplayer</t>
  </si>
  <si>
    <t xml:space="preserve">Fish-Networking under consideration</t>
  </si>
  <si>
    <t xml:space="preserve">Automated tests</t>
  </si>
  <si>
    <t xml:space="preserve">Content</t>
  </si>
  <si>
    <t xml:space="preserve">Mob variety</t>
  </si>
  <si>
    <t xml:space="preserve">Aggressive/Passive behavior modes done; only Poring/Poporing exist as content</t>
  </si>
  <si>
    <t xml:space="preserve">Quest system</t>
  </si>
  <si>
    <t xml:space="preserve">Quasi-stats (Attack Range, Cast Time, Perfect Dodge, etc.)</t>
  </si>
  <si>
    <t xml:space="preserve">See Quasi-Stats sheet</t>
  </si>
  <si>
    <t xml:space="preserve">Stat Points Reset</t>
  </si>
  <si>
    <t xml:space="preserve">No reset mechanism exists yet</t>
  </si>
  <si>
    <t xml:space="preserve">Talent Stats (POW/STA/WIS/SPL/CON/CRT) and Lv.200+ substats</t>
  </si>
  <si>
    <t xml:space="preserve">Out of scope</t>
  </si>
  <si>
    <t xml:space="preserve">Assumes 4th-job content far beyond current roadmap</t>
  </si>
  <si>
    <t xml:space="preserve">Reference: iRO Wiki — Stats (https://irowiki.org/wiki/Stats), consulted July 2026. "Modeled Today" reflects the project's current implementation; the rest is target/reference for future balancing.</t>
  </si>
  <si>
    <t xml:space="preserve">Stat</t>
  </si>
  <si>
    <t xml:space="preserve">Abbrev.</t>
  </si>
  <si>
    <t xml:space="preserve">Range</t>
  </si>
  <si>
    <t xml:space="preserve">Full Effect (RO Reference)</t>
  </si>
  <si>
    <t xml:space="preserve">Modeled Today</t>
  </si>
  <si>
    <t xml:space="preserve">Strength</t>
  </si>
  <si>
    <t xml:space="preserve">STR</t>
  </si>
  <si>
    <t xml:space="preserve">1-99</t>
  </si>
  <si>
    <t xml:space="preserve">Primary melee physical attack stat (smaller bonus for ranged weapons); sole stat driving carry weight capacity.</t>
  </si>
  <si>
    <t xml:space="preserve">Status ATK (melee weapons; DEX takes over for ranged) + small Status ATK bonus (LUK/5)</t>
  </si>
  <si>
    <t xml:space="preserve">Agility</t>
  </si>
  <si>
    <t xml:space="preserve">AGI</t>
  </si>
  <si>
    <t xml:space="preserve">Increases Flee Rate and Attack Speed (ASPD); does not affect movement speed; resists Bleeding/Sleep.</t>
  </si>
  <si>
    <t xml:space="preserve">Flee Rate — now resolved on every incoming hit via the Hit Chance accuracy roll</t>
  </si>
  <si>
    <t xml:space="preserve">Vitality</t>
  </si>
  <si>
    <t xml:space="preserve">VIT</t>
  </si>
  <si>
    <t xml:space="preserve">Increases Max HP, physical Defense, magic Defense, HP recovery rate; resists Stun/Poison/Burning/Freezing and more.</t>
  </si>
  <si>
    <t xml:space="preserve">Status DEF (now mitigates incoming Physical damage) + part of Status MDEF + Max HP bonus (+1%/point)</t>
  </si>
  <si>
    <t xml:space="preserve">Intelligence</t>
  </si>
  <si>
    <t xml:space="preserve">INT</t>
  </si>
  <si>
    <t xml:space="preserve">Increases Magic Attack, magic Defense, Max SP, SP recovery rate; reduces variable cast time; resists Blind/Silence/Chaos.</t>
  </si>
  <si>
    <t xml:space="preserve">Status MATK (Mage basic attack + magic skills) + part of Status MDEF (mitigates Magical damage) + Max SP bonus (+1%/point)</t>
  </si>
  <si>
    <t xml:space="preserve">Dexterity</t>
  </si>
  <si>
    <t xml:space="preserve">DEX</t>
  </si>
  <si>
    <t xml:space="preserve">Primary ranged physical attack stat (smaller bonus for melee); increases Hit Rate, Attack Speed; reduces variable cast time.</t>
  </si>
  <si>
    <t xml:space="preserve">Hit Rate (now resolved via accuracy rolls) + part of Status MDEF + Status ATK when wielding a ranged weapon</t>
  </si>
  <si>
    <t xml:space="preserve">Luck</t>
  </si>
  <si>
    <t xml:space="preserve">LUK</t>
  </si>
  <si>
    <t xml:space="preserve">Increases Critical Hit Rate; smaller bonuses to ATK, MATK, Hit Rate, Flee Rate; resists several status effects.</t>
  </si>
  <si>
    <t xml:space="preserve">Critical Rate + small Status ATK bonus (LUK/5)</t>
  </si>
  <si>
    <t xml:space="preserve">Note: RO extends the range to 130 for third-class characters (80/117 for baby classes) — not applicable to the project's current single-tier class scope.</t>
  </si>
  <si>
    <t xml:space="preserve">Note: point cost per increase and points granted per Base Level now use the real RO formulas below — see the "Leveling &amp; Stat Costs" sheet, which reflects the actual implementation (RagnarokStatPointCostStrategy / RagnarokStatPointsPerLevelStrategy), not just a future target.</t>
  </si>
  <si>
    <t xml:space="preserve">"Status" component only — equipment/weapon-based bonuses are added on top by the equipment system, not shown here. Formulas match Project.Character.Stats.SubStatsCalculator exactly (source: iRO Wiki Classic — Stats, consulted September 2026).</t>
  </si>
  <si>
    <t xml:space="preserve">Sub-Stat</t>
  </si>
  <si>
    <t xml:space="preserve">Formula (as implemented)</t>
  </si>
  <si>
    <t xml:space="preserve">Status ATK</t>
  </si>
  <si>
    <t xml:space="preserve">mainStat + floor(mainStat/10)² + floor(LUK/5); mainStat = DEX if wielding a ranged weapon (bow/gun/instrument/whip), otherwise STR</t>
  </si>
  <si>
    <t xml:space="preserve">Weapon ATK bonus not yet modeled. The equipped weapon TYPE decides which stat scales damage, not the player's class — a Swordman with a bow scales off DEX too.</t>
  </si>
  <si>
    <t xml:space="preserve">Status MATK</t>
  </si>
  <si>
    <t xml:space="preserve">avg( INT + floor(INT/7)² , INT + floor(INT/5)² )</t>
  </si>
  <si>
    <t xml:space="preserve">iRO's MATK range, averaged since this project has no randomized-damage-range mechanic yet. Used by the Mage's basic attack and by magic-type skills (SkillDamageType.Magical).</t>
  </si>
  <si>
    <t xml:space="preserve">Status DEF</t>
  </si>
  <si>
    <t xml:space="preserve">floor(VIT × 0.8)</t>
  </si>
  <si>
    <t xml:space="preserve">Mitigates incoming Physical damage: HealthComponent applies max(1, amount − StatusDef) after any elemental modifier.</t>
  </si>
  <si>
    <t xml:space="preserve">Status MDEF</t>
  </si>
  <si>
    <t xml:space="preserve">INT + floor(VIT/5) + floor(DEX/5) + floor(BaseLv/4)</t>
  </si>
  <si>
    <t xml:space="preserve">Mitigates incoming Magical damage the same way as Status DEF.</t>
  </si>
  <si>
    <t xml:space="preserve">Hit Rate</t>
  </si>
  <si>
    <t xml:space="preserve">BaseLv + DEX</t>
  </si>
  <si>
    <t xml:space="preserve">Attacker's accuracy rating, consulted by the Hit Chance roll below. Fixed from an unexplained 175 + DEX + LUK/3 + BaseLv placeholder that matched no documented formula.</t>
  </si>
  <si>
    <t xml:space="preserve">Flee Rate</t>
  </si>
  <si>
    <t xml:space="preserve">AGI + BaseLv</t>
  </si>
  <si>
    <t xml:space="preserve">Target's dodge rating, consulted by the Hit Chance roll below.</t>
  </si>
  <si>
    <t xml:space="preserve">Critical Rate</t>
  </si>
  <si>
    <t xml:space="preserve">LUK × 0.3 + 1</t>
  </si>
  <si>
    <t xml:space="preserve">Expressed as a percentage. A critical hit deals ×1.4 damage and always lands, bypassing the Hit Chance roll entirely.</t>
  </si>
  <si>
    <t xml:space="preserve">Hit Chance (accuracy roll)</t>
  </si>
  <si>
    <t xml:space="preserve">clamp(100 + Hit − Flee, 5%, 95%)</t>
  </si>
  <si>
    <t xml:space="preserve">HitChanceCalculator.RollHit — rolled on every non-critical hit (basic attacks, skills, enemy attacks). A missed skill still consumes mana and its cooldown.</t>
  </si>
  <si>
    <t xml:space="preserve">Max HP Bonus (VIT)</t>
  </si>
  <si>
    <t xml:space="preserve">round(BaseMaxHP × VIT × 0.01)</t>
  </si>
  <si>
    <t xml:space="preserve">+1% of base Max HP per VIT point, added on top of CharacterStatsDefinition.MaxHealth via IMaxHealthBonusProvider.</t>
  </si>
  <si>
    <t xml:space="preserve">Max SP Bonus (INT)</t>
  </si>
  <si>
    <t xml:space="preserve">round(BaseMaxSP × INT × 0.01)</t>
  </si>
  <si>
    <t xml:space="preserve">+1% of base Max SP per INT point, added on top of CharacterStatsDefinition.MaxMana via IMaxManaBonusProvider.</t>
  </si>
  <si>
    <t xml:space="preserve">— not implemented —</t>
  </si>
  <si>
    <t xml:space="preserve">In RO, capped at 190 (193 for advanced classes); depends on weapon type and class, neither exists yet. The one base stat contribution (AGI/DEX) still missing.</t>
  </si>
  <si>
    <t xml:space="preserve">Enemy Fallback Stats (CharacterStatsDefinition — flat, non-derived)</t>
  </si>
  <si>
    <t xml:space="preserve">Enemies don't compute Status sub-stats from base stats like the player does — they read these flat authored values directly from their CharacterStatsDefinition asset. HealthComponent falls back to these same fields (Defense / Magical Defense / Flee) whenever no IDefensiveStatsProvider is wired, which today means every enemy; the player's HealthComponent instead sources them from PlayerStatsController's calculated sub-stats above.</t>
  </si>
  <si>
    <t xml:space="preserve">Field</t>
  </si>
  <si>
    <t xml:space="preserve">Default Value</t>
  </si>
  <si>
    <t xml:space="preserve">Attack Power</t>
  </si>
  <si>
    <t xml:space="preserve">Flat physical damage dealt by the enemy's basic attack (EnemyAttackState).</t>
  </si>
  <si>
    <t xml:space="preserve">Defense</t>
  </si>
  <si>
    <t xml:space="preserve">Mitigates incoming Physical damage, using the same max(1, amount − Defense) rule as the player's Status DEF.</t>
  </si>
  <si>
    <t xml:space="preserve">Magical Defense</t>
  </si>
  <si>
    <t xml:space="preserve">Mitigates incoming Magical damage; most enemies have none by default.</t>
  </si>
  <si>
    <t xml:space="preserve">Hit</t>
  </si>
  <si>
    <t xml:space="preserve">Accuracy rating; high enough that an untuned enemy still reliably hits an average-Flee player.</t>
  </si>
  <si>
    <t xml:space="preserve">Flee</t>
  </si>
  <si>
    <t xml:space="preserve">Dodge rating consulted when the player's Hit is rolled against this enemy.</t>
  </si>
  <si>
    <t xml:space="preserve">Move Speed</t>
  </si>
  <si>
    <t xml:space="preserve">Units/second — also drives the enemy's NavMeshAgent speed.</t>
  </si>
  <si>
    <t xml:space="preserve">Note: Magical Defense, Hit and Flee were added to CharacterStatsDefinition alongside the pre-existing Defense field. Every enemy stat asset authored before these fields existed picks up these defaults automatically — Unity falls back to a new [SerializeField]'s C# default when deserializing an asset saved before the field was added.</t>
  </si>
  <si>
    <t xml:space="preserve">Values not shown directly in a stat panel, but that still measurably affect gameplay. Reference: iRO Wiki — Stats, consulted July 2026.</t>
  </si>
  <si>
    <t xml:space="preserve">Quasi-Stat</t>
  </si>
  <si>
    <t xml:space="preserve">Description</t>
  </si>
  <si>
    <t xml:space="preserve">Attack Range</t>
  </si>
  <si>
    <t xml:space="preserve">Maximum distance an attack or skill can be used from.</t>
  </si>
  <si>
    <t xml:space="preserve">Partially covered by existing attack/aggro ranges</t>
  </si>
  <si>
    <t xml:space="preserve">Cast Time</t>
  </si>
  <si>
    <t xml:space="preserve">Time to channel a skill before it fires; reduced by DEX and (at half rate) INT.</t>
  </si>
  <si>
    <t xml:space="preserve">Planned — blocked on skill system</t>
  </si>
  <si>
    <t xml:space="preserve">Cast Delay</t>
  </si>
  <si>
    <t xml:space="preserve">Cooldown after any skill during which no other skill can be cast.</t>
  </si>
  <si>
    <t xml:space="preserve">Cooldown</t>
  </si>
  <si>
    <t xml:space="preserve">Per-skill reuse delay, independent of Cast Delay.</t>
  </si>
  <si>
    <t xml:space="preserve">Critical Hit Shield</t>
  </si>
  <si>
    <t xml:space="preserve">Defender-side value that reduces the attacker's effective Critical Rate.</t>
  </si>
  <si>
    <t xml:space="preserve">Perfect Dodge</t>
  </si>
  <si>
    <t xml:space="preserve">Flat chance to dodge any physical attack, bypassing normal Flee/Hit checks.</t>
  </si>
  <si>
    <t xml:space="preserve">Perfect Hit</t>
  </si>
  <si>
    <t xml:space="preserve">Flat chance for a physical attack to bypass accuracy checks entirely.</t>
  </si>
  <si>
    <t xml:space="preserve">Weight Limit</t>
  </si>
  <si>
    <t xml:space="preserve">Total carry capacity.</t>
  </si>
  <si>
    <t xml:space="preserve">Implemented today via total carry weight, not tied to STR yet</t>
  </si>
  <si>
    <t xml:space="preserve">Movement Speed</t>
  </si>
  <si>
    <t xml:space="preserve">Walking speed. Not affected by AGI in RO — only by skills/items.</t>
  </si>
  <si>
    <t xml:space="preserve">Implemented as a flat speed; not tied to any stat, matching RO</t>
  </si>
  <si>
    <t xml:space="preserve">Status Effect Resistance</t>
  </si>
  <si>
    <t xml:space="preserve">Several base stats reduce the chance and/or duration of specific negative status effects.</t>
  </si>
  <si>
    <t xml:space="preserve">Planned — no status effect system exists yet</t>
  </si>
  <si>
    <t xml:space="preserve">Leveling &amp; Stat Costs — RO Reference (Implemented)</t>
  </si>
  <si>
    <t xml:space="preserve">Implemented in code exactly as documented below (RagnarokStatPointCostStrategy / RagnarokStatPointsPerLevelStrategy, Project.Character.Stats). Reference: iRO Wiki — Stats (https://irowiki.org/wiki/Stats), consulted July 2026, re-confirmed September 2026. Starting stat points at level 1 (48) are implemented too (PlayerStatsController.RealRagnarokStartingStatPoints).</t>
  </si>
  <si>
    <t xml:space="preserve">Stat Points Granted per Base Level-Up</t>
  </si>
  <si>
    <t xml:space="preserve">Formula by level range (X = current level, points gained going from X to X+1):</t>
  </si>
  <si>
    <t xml:space="preserve">Level 1-99</t>
  </si>
  <si>
    <t xml:space="preserve">floor(X / 5) + 3</t>
  </si>
  <si>
    <t xml:space="preserve">Level 100-150</t>
  </si>
  <si>
    <t xml:space="preserve">floor(X / 10) + 13</t>
  </si>
  <si>
    <t xml:space="preserve">Level 151-200</t>
  </si>
  <si>
    <t xml:space="preserve">floor((X - 150) / 7) + 28</t>
  </si>
  <si>
    <t xml:space="preserve">Points Gained by Level Range (lookup table)</t>
  </si>
  <si>
    <t xml:space="preserve">Level Range</t>
  </si>
  <si>
    <t xml:space="preserve">Points Gained</t>
  </si>
  <si>
    <t xml:space="preserve">1-4</t>
  </si>
  <si>
    <t xml:space="preserve">5-9</t>
  </si>
  <si>
    <t xml:space="preserve">10-14</t>
  </si>
  <si>
    <t xml:space="preserve">15-19</t>
  </si>
  <si>
    <t xml:space="preserve">20-24</t>
  </si>
  <si>
    <t xml:space="preserve">25-29</t>
  </si>
  <si>
    <t xml:space="preserve">30-34</t>
  </si>
  <si>
    <t xml:space="preserve">35-39</t>
  </si>
  <si>
    <t xml:space="preserve">40-44</t>
  </si>
  <si>
    <t xml:space="preserve">45-49</t>
  </si>
  <si>
    <t xml:space="preserve">50-54</t>
  </si>
  <si>
    <t xml:space="preserve">55-59</t>
  </si>
  <si>
    <t xml:space="preserve">60-64</t>
  </si>
  <si>
    <t xml:space="preserve">65-69</t>
  </si>
  <si>
    <t xml:space="preserve">70-74</t>
  </si>
  <si>
    <t xml:space="preserve">75-79</t>
  </si>
  <si>
    <t xml:space="preserve">80-84</t>
  </si>
  <si>
    <t xml:space="preserve">85-89</t>
  </si>
  <si>
    <t xml:space="preserve">90-94</t>
  </si>
  <si>
    <t xml:space="preserve">95-99</t>
  </si>
  <si>
    <t xml:space="preserve">100-109</t>
  </si>
  <si>
    <t xml:space="preserve">110-119</t>
  </si>
  <si>
    <t xml:space="preserve">120-129</t>
  </si>
  <si>
    <t xml:space="preserve">130-139</t>
  </si>
  <si>
    <t xml:space="preserve">140-150</t>
  </si>
  <si>
    <t xml:space="preserve">151-157</t>
  </si>
  <si>
    <t xml:space="preserve">158-164</t>
  </si>
  <si>
    <t xml:space="preserve">165-171</t>
  </si>
  <si>
    <t xml:space="preserve">172-178</t>
  </si>
  <si>
    <t xml:space="preserve">179-185</t>
  </si>
  <si>
    <t xml:space="preserve">186-192</t>
  </si>
  <si>
    <t xml:space="preserve">193-199</t>
  </si>
  <si>
    <t xml:space="preserve">200</t>
  </si>
  <si>
    <t xml:space="preserve">Cost to Raise a Single Stat by 1 Point</t>
  </si>
  <si>
    <t xml:space="preserve">Formula by current stat value X:</t>
  </si>
  <si>
    <t xml:space="preserve">Stat value 1-99</t>
  </si>
  <si>
    <t xml:space="preserve">floor((X - 1) / 10) + 2</t>
  </si>
  <si>
    <t xml:space="preserve">Stat value 100-129 (third class only)</t>
  </si>
  <si>
    <t xml:space="preserve">4 × floor((X - 100) / 5) + 16</t>
  </si>
  <si>
    <t xml:space="preserve">Raise Cost by Stat Range (lookup table)</t>
  </si>
  <si>
    <t xml:space="preserve">Stat Range</t>
  </si>
  <si>
    <t xml:space="preserve">Cost per Point</t>
  </si>
  <si>
    <t xml:space="preserve">1-10</t>
  </si>
  <si>
    <t xml:space="preserve">11-20</t>
  </si>
  <si>
    <t xml:space="preserve">21-30</t>
  </si>
  <si>
    <t xml:space="preserve">31-40</t>
  </si>
  <si>
    <t xml:space="preserve">41-50</t>
  </si>
  <si>
    <t xml:space="preserve">51-60</t>
  </si>
  <si>
    <t xml:space="preserve">61-70</t>
  </si>
  <si>
    <t xml:space="preserve">71-80</t>
  </si>
  <si>
    <t xml:space="preserve">81-90</t>
  </si>
  <si>
    <t xml:space="preserve">91-99</t>
  </si>
  <si>
    <t xml:space="preserve">100-104</t>
  </si>
  <si>
    <t xml:space="preserve">105-109</t>
  </si>
  <si>
    <t xml:space="preserve">110-114</t>
  </si>
  <si>
    <t xml:space="preserve">115-120</t>
  </si>
  <si>
    <t xml:space="preserve">121-125</t>
  </si>
  <si>
    <t xml:space="preserve">126-130</t>
  </si>
  <si>
    <t xml:space="preserve">Reference totals: raising a stat from 1 to 99 costs 628 points total. Reaching Base Level 99 grants 1225 stat points total (1273 including the 48 a character starts with at Level 1).</t>
  </si>
  <si>
    <t xml:space="preserve">Note: this sheet covers stat points ONLY — the required-XP-per-level curve is a separate mechanic not covered by this reference and remains a fully open placeholder (LinearExperienceCurve).</t>
  </si>
  <si>
    <t xml:space="preserve">Known discrepancy at the tier boundary: the formula evaluated at exactly level 150 gives 28 points, but this lookup table (row "140-150", matching the original iRO Wiki table) lists 27 — a one-level inconsistency in the source reference itself, not in the code. RagnarokStatPointsPerLevelStrategy always uses the formula, never this lookup table, so the game computes 28 at level 150.</t>
  </si>
  <si>
    <t xml:space="preserve">Class</t>
  </si>
  <si>
    <t xml:space="preserve">Type</t>
  </si>
  <si>
    <t xml:space="preserve">Swordman</t>
  </si>
  <si>
    <t xml:space="preserve">Base</t>
  </si>
  <si>
    <t xml:space="preserve">Default starting class</t>
  </si>
  <si>
    <t xml:space="preserve">Archer</t>
  </si>
  <si>
    <t xml:space="preserve">Merchant</t>
  </si>
  <si>
    <t xml:space="preserve">Acolyte</t>
  </si>
  <si>
    <t xml:space="preserve">Thief</t>
  </si>
  <si>
    <t xml:space="preserve">Mage</t>
  </si>
  <si>
    <t xml:space="preserve">(2nd Job classes)</t>
  </si>
  <si>
    <t xml:space="preserve">Evolution</t>
  </si>
  <si>
    <t xml:space="preserve">Promotion system not yet designed</t>
  </si>
  <si>
    <t xml:space="preserve">Slot</t>
  </si>
  <si>
    <t xml:space="preserve">Capacity</t>
  </si>
  <si>
    <t xml:space="preserve">Head Top</t>
  </si>
  <si>
    <t xml:space="preserve">1</t>
  </si>
  <si>
    <t xml:space="preserve">Can be combined with Head Face by a multi-slot item (e.g. full helmet)</t>
  </si>
  <si>
    <t xml:space="preserve">Head Face</t>
  </si>
  <si>
    <t xml:space="preserve">Body</t>
  </si>
  <si>
    <t xml:space="preserve">Left Hand</t>
  </si>
  <si>
    <t xml:space="preserve">Two-handed weapons occupy both Left Hand and Right Hand</t>
  </si>
  <si>
    <t xml:space="preserve">Right Hand</t>
  </si>
  <si>
    <t xml:space="preserve">Pants</t>
  </si>
  <si>
    <t xml:space="preserve">Boots</t>
  </si>
  <si>
    <t xml:space="preserve">Accessory</t>
  </si>
  <si>
    <t xml:space="preserve">2</t>
  </si>
  <si>
    <t xml:space="preserve">Two concurrent items; equipping a third auto-evicts the longest-equipped one</t>
  </si>
  <si>
    <t xml:space="preserve">Test Items — Fill-In Template</t>
  </si>
  <si>
    <t xml:space="preserve">Columns match ItemDefinition's fields. Row 5 (yellow) is an example — replace with real data from your item assets. Delete the example row before treating this as final data.</t>
  </si>
  <si>
    <t xml:space="preserve">Item Name</t>
  </si>
  <si>
    <t xml:space="preserve">Item Type</t>
  </si>
  <si>
    <t xml:space="preserve">Required Slot(s)</t>
  </si>
  <si>
    <t xml:space="preserve">Weight</t>
  </si>
  <si>
    <t xml:space="preserve">Required Level</t>
  </si>
  <si>
    <t xml:space="preserve">Allowed Classes</t>
  </si>
  <si>
    <t xml:space="preserve">Example Sword</t>
  </si>
  <si>
    <t xml:space="preserve">Equipment</t>
  </si>
  <si>
    <t xml:space="preserve">RightHand</t>
  </si>
  <si>
    <t xml:space="preserve">Sample row — replace with real data</t>
  </si>
  <si>
    <t xml:space="preserve">TestArmor</t>
  </si>
  <si>
    <t xml:space="preserve">TestBoots</t>
  </si>
  <si>
    <t xml:space="preserve">TestDualHand</t>
  </si>
  <si>
    <t xml:space="preserve">TestFace</t>
  </si>
  <si>
    <t xml:space="preserve">TestHead</t>
  </si>
  <si>
    <t xml:space="preserve">TestItem</t>
  </si>
  <si>
    <t xml:space="preserve">TestLegs</t>
  </si>
  <si>
    <t xml:space="preserve">TestNecklace</t>
  </si>
  <si>
    <t xml:space="preserve">TestRing</t>
  </si>
  <si>
    <t xml:space="preserve">TestWeapon</t>
  </si>
  <si>
    <t xml:space="preserve">Enemy Data — Fill-In Template</t>
  </si>
  <si>
    <t xml:space="preserve">Columns match CharacterStatsDefinition and EnemyController's fields. Row 5 (yellow) is an example — replace with real data. Delete the example row before treating this as final data.</t>
  </si>
  <si>
    <t xml:space="preserve">Enemy Name</t>
  </si>
  <si>
    <t xml:space="preserve">Max HP</t>
  </si>
  <si>
    <t xml:space="preserve">Max Mana</t>
  </si>
  <si>
    <t xml:space="preserve">ATK</t>
  </si>
  <si>
    <t xml:space="preserve">DEF</t>
  </si>
  <si>
    <t xml:space="preserve">XP Reward</t>
  </si>
  <si>
    <t xml:space="preserve">Job XP Reward</t>
  </si>
  <si>
    <t xml:space="preserve">Aggro Range</t>
  </si>
  <si>
    <t xml:space="preserve">Leash Range</t>
  </si>
  <si>
    <t xml:space="preserve">Example Poring</t>
  </si>
  <si>
    <t xml:space="preserve">Skills — Test Content</t>
  </si>
  <si>
    <t xml:space="preserve">The four test skills created to exercise both effect types (Damage/Heal) and both target scopes (Self/Enemy).</t>
  </si>
  <si>
    <t xml:space="preserve">Skill</t>
  </si>
  <si>
    <t xml:space="preserve">Allowed Class(es)</t>
  </si>
  <si>
    <t xml:space="preserve">Effect Type</t>
  </si>
  <si>
    <t xml:space="preserve">Target Type</t>
  </si>
  <si>
    <t xml:space="preserve">Damage Type</t>
  </si>
  <si>
    <t xml:space="preserve">Heal Amount</t>
  </si>
  <si>
    <t xml:space="preserve">BasicHeal</t>
  </si>
  <si>
    <t xml:space="preserve">Any</t>
  </si>
  <si>
    <t xml:space="preserve">Heal</t>
  </si>
  <si>
    <t xml:space="preserve">Self</t>
  </si>
  <si>
    <t xml:space="preserve">-</t>
  </si>
  <si>
    <t xml:space="preserve">10 (flat)</t>
  </si>
  <si>
    <t xml:space="preserve">N/A</t>
  </si>
  <si>
    <t xml:space="preserve">Future: scale with INT</t>
  </si>
  <si>
    <t xml:space="preserve">StrongHeal</t>
  </si>
  <si>
    <t xml:space="preserve">Ally</t>
  </si>
  <si>
    <t xml:space="preserve">25 (flat)</t>
  </si>
  <si>
    <t xml:space="preserve">Ally targeting not implemented yet — currently heals self only</t>
  </si>
  <si>
    <t xml:space="preserve">Bash</t>
  </si>
  <si>
    <t xml:space="preserve">Damage</t>
  </si>
  <si>
    <t xml:space="preserve">Enemy</t>
  </si>
  <si>
    <t xml:space="preserve">Physical</t>
  </si>
  <si>
    <t xml:space="preserve">Short (matches basic attack range)</t>
  </si>
  <si>
    <t xml:space="preserve">Snipe</t>
  </si>
  <si>
    <t xml:space="preserve">Long (well beyond basic attack range)</t>
  </si>
  <si>
    <t xml:space="preserve">Future: range should scale with equipped weapon</t>
  </si>
  <si>
    <t xml:space="preserve">Priority</t>
  </si>
  <si>
    <t xml:space="preserve">Item</t>
  </si>
  <si>
    <t xml:space="preserve">Term</t>
  </si>
  <si>
    <t xml:space="preserve">Near-term</t>
  </si>
  <si>
    <t xml:space="preserve">Additional mob variety (more content beyond Poring/Poporing)</t>
  </si>
  <si>
    <t xml:space="preserve">Mid-term</t>
  </si>
  <si>
    <t xml:space="preserve">Shops / economy (Zeny)</t>
  </si>
  <si>
    <t xml:space="preserve">Authoritative multiplayer server</t>
  </si>
  <si>
    <t xml:space="preserve">Long-term</t>
  </si>
  <si>
    <t xml:space="preserve">Revisit grid-based (SQM) movement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</si>
</sst>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2F5496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5496"/>
        <bgColor rgb="FF0066CC"/>
      </patternFill>
    </fill>
    <fill>
      <patternFill patternType="solid">
        <fgColor rgb="FFC6E0B4"/>
        <bgColor rgb="FFD9D9D9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D9D9"/>
        <bgColor rgb="FFC6E0B4"/>
      </patternFill>
    </fill>
    <fill>
      <patternFill patternType="solid">
        <fgColor rgb="FFFFF2CC"/>
        <bgColor rgb="FFFFE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70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 t="s">
        <v>2</v>
      </c>
    </row>
    <row r="5" customFormat="false" ht="15" hidden="false" customHeight="true" outlineLevel="0" collapsed="false">
      <c r="A5" s="4" t="s">
        <v>3</v>
      </c>
      <c r="B5" s="4" t="s">
        <v>4</v>
      </c>
    </row>
    <row r="6" customFormat="false" ht="15" hidden="false" customHeight="true" outlineLevel="0" collapsed="false">
      <c r="A6" s="5" t="s">
        <v>5</v>
      </c>
      <c r="B6" s="5" t="s">
        <v>6</v>
      </c>
    </row>
    <row r="7" customFormat="false" ht="15" hidden="false" customHeight="true" outlineLevel="0" collapsed="false">
      <c r="A7" s="5" t="s">
        <v>7</v>
      </c>
      <c r="B7" s="5" t="s">
        <v>8</v>
      </c>
    </row>
    <row r="8" customFormat="false" ht="15" hidden="false" customHeight="true" outlineLevel="0" collapsed="false">
      <c r="A8" s="5" t="s">
        <v>9</v>
      </c>
      <c r="B8" s="5" t="s">
        <v>10</v>
      </c>
    </row>
    <row r="9" customFormat="false" ht="15" hidden="false" customHeight="true" outlineLevel="0" collapsed="false">
      <c r="A9" s="5" t="s">
        <v>11</v>
      </c>
      <c r="B9" s="5" t="s">
        <v>12</v>
      </c>
    </row>
    <row r="10" customFormat="false" ht="23.25" hidden="false" customHeight="true" outlineLevel="0" collapsed="false">
      <c r="A10" s="5" t="s">
        <v>13</v>
      </c>
      <c r="B10" s="5" t="s">
        <v>14</v>
      </c>
    </row>
    <row r="11" customFormat="false" ht="15" hidden="false" customHeight="true" outlineLevel="0" collapsed="false">
      <c r="A11" s="5" t="s">
        <v>15</v>
      </c>
      <c r="B11" s="5" t="s">
        <v>16</v>
      </c>
    </row>
    <row r="12" customFormat="false" ht="15" hidden="false" customHeight="true" outlineLevel="0" collapsed="false">
      <c r="A12" s="5" t="s">
        <v>17</v>
      </c>
      <c r="B12" s="5" t="s">
        <v>18</v>
      </c>
    </row>
    <row r="13" customFormat="false" ht="15" hidden="false" customHeight="true" outlineLevel="0" collapsed="false">
      <c r="A13" s="5" t="s">
        <v>19</v>
      </c>
      <c r="B13" s="5" t="s">
        <v>20</v>
      </c>
    </row>
    <row r="14" customFormat="false" ht="15" hidden="false" customHeight="true" outlineLevel="0" collapsed="false">
      <c r="A14" s="5" t="s">
        <v>21</v>
      </c>
      <c r="B14" s="5" t="s">
        <v>22</v>
      </c>
    </row>
    <row r="15" customFormat="false" ht="15" hidden="false" customHeight="true" outlineLevel="0" collapsed="false">
      <c r="A15" s="5" t="s">
        <v>23</v>
      </c>
      <c r="B15" s="5" t="s">
        <v>24</v>
      </c>
    </row>
    <row r="16" customFormat="false" ht="15" hidden="false" customHeight="true" outlineLevel="0" collapsed="false">
      <c r="A16" s="5" t="s">
        <v>25</v>
      </c>
      <c r="B16" s="5" t="s">
        <v>26</v>
      </c>
    </row>
    <row r="19" customFormat="false" ht="15" hidden="false" customHeight="true" outlineLevel="0" collapsed="false">
      <c r="A19" s="6" t="s">
        <v>27</v>
      </c>
    </row>
    <row r="20" customFormat="false" ht="15" hidden="false" customHeight="true" outlineLevel="0" collapsed="false">
      <c r="A20" s="7" t="s">
        <v>28</v>
      </c>
    </row>
    <row r="21" customFormat="false" ht="15" hidden="false" customHeight="true" outlineLevel="0" collapsed="false">
      <c r="A21" s="8" t="s">
        <v>29</v>
      </c>
    </row>
    <row r="22" customFormat="false" ht="15" hidden="false" customHeight="true" outlineLevel="0" collapsed="false">
      <c r="A22" s="9" t="s">
        <v>30</v>
      </c>
    </row>
    <row r="23" customFormat="false" ht="15" hidden="false" customHeight="true" outlineLevel="0" collapsed="false">
      <c r="A23" s="10" t="s">
        <v>31</v>
      </c>
    </row>
    <row r="24" customFormat="false" ht="15" hidden="false" customHeight="true" outlineLevel="0" collapsed="false">
      <c r="A24" s="11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44"/>
    <col collapsed="false" customWidth="true" hidden="false" outlineLevel="0" max="3" min="3" style="1" width="12"/>
    <col collapsed="false" customWidth="true" hidden="false" outlineLevel="0" max="4" min="4" style="1" width="46"/>
  </cols>
  <sheetData>
    <row r="1" customFormat="false" ht="19.5" hidden="false" customHeight="true" outlineLevel="0" collapsed="false">
      <c r="A1" s="2" t="s">
        <v>5</v>
      </c>
    </row>
    <row r="3" customFormat="false" ht="15" hidden="false" customHeight="true" outlineLevel="0" collapsed="false">
      <c r="A3" s="6" t="s">
        <v>28</v>
      </c>
      <c r="B3" s="12" t="n">
        <f aca="false">COUNTIF(C9:C200,"Done")</f>
        <v>31</v>
      </c>
    </row>
    <row r="4" customFormat="false" ht="15" hidden="false" customHeight="true" outlineLevel="0" collapsed="false">
      <c r="A4" s="6" t="s">
        <v>29</v>
      </c>
      <c r="B4" s="12" t="n">
        <f aca="false">COUNTIF(C9:C200,"Partial")</f>
        <v>2</v>
      </c>
    </row>
    <row r="5" customFormat="false" ht="15" hidden="false" customHeight="true" outlineLevel="0" collapsed="false">
      <c r="A5" s="6" t="s">
        <v>30</v>
      </c>
      <c r="B5" s="12" t="n">
        <f aca="false">COUNTIF(C9:C200,"Planned")</f>
        <v>17</v>
      </c>
    </row>
    <row r="8" customFormat="false" ht="15" hidden="false" customHeight="true" outlineLevel="0" collapsed="false">
      <c r="A8" s="4" t="s">
        <v>33</v>
      </c>
      <c r="B8" s="4" t="s">
        <v>34</v>
      </c>
      <c r="C8" s="4" t="s">
        <v>35</v>
      </c>
      <c r="D8" s="4" t="s">
        <v>36</v>
      </c>
    </row>
    <row r="9" customFormat="false" ht="15" hidden="false" customHeight="true" outlineLevel="0" collapsed="false">
      <c r="A9" s="5" t="s">
        <v>37</v>
      </c>
      <c r="B9" s="5" t="s">
        <v>38</v>
      </c>
      <c r="C9" s="13" t="s">
        <v>28</v>
      </c>
      <c r="D9" s="5"/>
    </row>
    <row r="10" customFormat="false" ht="15" hidden="false" customHeight="true" outlineLevel="0" collapsed="false">
      <c r="A10" s="5" t="s">
        <v>37</v>
      </c>
      <c r="B10" s="5" t="s">
        <v>39</v>
      </c>
      <c r="C10" s="13" t="s">
        <v>28</v>
      </c>
      <c r="D10" s="5"/>
    </row>
    <row r="11" customFormat="false" ht="15" hidden="false" customHeight="true" outlineLevel="0" collapsed="false">
      <c r="A11" s="5" t="s">
        <v>37</v>
      </c>
      <c r="B11" s="5" t="s">
        <v>40</v>
      </c>
      <c r="C11" s="14" t="s">
        <v>30</v>
      </c>
      <c r="D11" s="5" t="s">
        <v>41</v>
      </c>
    </row>
    <row r="12" customFormat="false" ht="15" hidden="false" customHeight="true" outlineLevel="0" collapsed="false">
      <c r="A12" s="5" t="s">
        <v>42</v>
      </c>
      <c r="B12" s="5" t="s">
        <v>43</v>
      </c>
      <c r="C12" s="13" t="s">
        <v>28</v>
      </c>
      <c r="D12" s="5"/>
    </row>
    <row r="13" customFormat="false" ht="15" hidden="false" customHeight="true" outlineLevel="0" collapsed="false">
      <c r="A13" s="5" t="s">
        <v>42</v>
      </c>
      <c r="B13" s="5" t="s">
        <v>44</v>
      </c>
      <c r="C13" s="13" t="s">
        <v>28</v>
      </c>
      <c r="D13" s="5" t="s">
        <v>45</v>
      </c>
    </row>
    <row r="14" customFormat="false" ht="15" hidden="false" customHeight="true" outlineLevel="0" collapsed="false">
      <c r="A14" s="5" t="s">
        <v>42</v>
      </c>
      <c r="B14" s="5" t="s">
        <v>46</v>
      </c>
      <c r="C14" s="14" t="s">
        <v>30</v>
      </c>
      <c r="D14" s="5" t="s">
        <v>47</v>
      </c>
    </row>
    <row r="15" customFormat="false" ht="15" hidden="false" customHeight="true" outlineLevel="0" collapsed="false">
      <c r="A15" s="5" t="s">
        <v>42</v>
      </c>
      <c r="B15" s="5" t="s">
        <v>48</v>
      </c>
      <c r="C15" s="13" t="s">
        <v>28</v>
      </c>
      <c r="D15" s="5"/>
    </row>
    <row r="16" customFormat="false" ht="15" hidden="false" customHeight="true" outlineLevel="0" collapsed="false">
      <c r="A16" s="5" t="s">
        <v>42</v>
      </c>
      <c r="B16" s="5" t="s">
        <v>49</v>
      </c>
      <c r="C16" s="14" t="s">
        <v>30</v>
      </c>
      <c r="D16" s="5" t="s">
        <v>50</v>
      </c>
    </row>
    <row r="17" customFormat="false" ht="15" hidden="false" customHeight="true" outlineLevel="0" collapsed="false">
      <c r="A17" s="5" t="s">
        <v>51</v>
      </c>
      <c r="B17" s="5" t="s">
        <v>52</v>
      </c>
      <c r="C17" s="13" t="s">
        <v>28</v>
      </c>
      <c r="D17" s="5"/>
    </row>
    <row r="18" customFormat="false" ht="15" hidden="false" customHeight="true" outlineLevel="0" collapsed="false">
      <c r="A18" s="5" t="s">
        <v>51</v>
      </c>
      <c r="B18" s="5" t="s">
        <v>53</v>
      </c>
      <c r="C18" s="13" t="s">
        <v>28</v>
      </c>
      <c r="D18" s="5" t="s">
        <v>54</v>
      </c>
    </row>
    <row r="19" customFormat="false" ht="15" hidden="false" customHeight="true" outlineLevel="0" collapsed="false">
      <c r="A19" s="5" t="s">
        <v>51</v>
      </c>
      <c r="B19" s="5" t="s">
        <v>55</v>
      </c>
      <c r="C19" s="14" t="s">
        <v>30</v>
      </c>
      <c r="D19" s="5" t="s">
        <v>56</v>
      </c>
    </row>
    <row r="20" customFormat="false" ht="15" hidden="false" customHeight="true" outlineLevel="0" collapsed="false">
      <c r="A20" s="5" t="s">
        <v>51</v>
      </c>
      <c r="B20" s="5" t="s">
        <v>57</v>
      </c>
      <c r="C20" s="13" t="s">
        <v>28</v>
      </c>
      <c r="D20" s="5"/>
    </row>
    <row r="21" customFormat="false" ht="15" hidden="false" customHeight="true" outlineLevel="0" collapsed="false">
      <c r="A21" s="5" t="s">
        <v>51</v>
      </c>
      <c r="B21" s="5" t="s">
        <v>58</v>
      </c>
      <c r="C21" s="14" t="s">
        <v>30</v>
      </c>
      <c r="D21" s="5"/>
    </row>
    <row r="22" customFormat="false" ht="15" hidden="false" customHeight="true" outlineLevel="0" collapsed="false">
      <c r="A22" s="5" t="s">
        <v>59</v>
      </c>
      <c r="B22" s="5" t="s">
        <v>60</v>
      </c>
      <c r="C22" s="13" t="s">
        <v>28</v>
      </c>
      <c r="D22" s="5"/>
    </row>
    <row r="23" customFormat="false" ht="15" hidden="false" customHeight="true" outlineLevel="0" collapsed="false">
      <c r="A23" s="5" t="s">
        <v>59</v>
      </c>
      <c r="B23" s="5" t="s">
        <v>61</v>
      </c>
      <c r="C23" s="13" t="s">
        <v>28</v>
      </c>
      <c r="D23" s="5"/>
    </row>
    <row r="24" customFormat="false" ht="15" hidden="false" customHeight="true" outlineLevel="0" collapsed="false">
      <c r="A24" s="5" t="s">
        <v>59</v>
      </c>
      <c r="B24" s="5" t="s">
        <v>62</v>
      </c>
      <c r="C24" s="13" t="s">
        <v>28</v>
      </c>
      <c r="D24" s="5"/>
    </row>
    <row r="25" customFormat="false" ht="15" hidden="false" customHeight="true" outlineLevel="0" collapsed="false">
      <c r="A25" s="5" t="s">
        <v>59</v>
      </c>
      <c r="B25" s="5" t="s">
        <v>63</v>
      </c>
      <c r="C25" s="14" t="s">
        <v>30</v>
      </c>
      <c r="D25" s="5" t="s">
        <v>64</v>
      </c>
    </row>
    <row r="26" customFormat="false" ht="15" hidden="false" customHeight="true" outlineLevel="0" collapsed="false">
      <c r="A26" s="5" t="s">
        <v>59</v>
      </c>
      <c r="B26" s="5" t="s">
        <v>65</v>
      </c>
      <c r="C26" s="13" t="s">
        <v>28</v>
      </c>
      <c r="D26" s="5"/>
    </row>
    <row r="27" customFormat="false" ht="15" hidden="false" customHeight="true" outlineLevel="0" collapsed="false">
      <c r="A27" s="5" t="s">
        <v>59</v>
      </c>
      <c r="B27" s="5" t="s">
        <v>66</v>
      </c>
      <c r="C27" s="13" t="s">
        <v>28</v>
      </c>
      <c r="D27" s="5"/>
    </row>
    <row r="28" customFormat="false" ht="23.25" hidden="false" customHeight="true" outlineLevel="0" collapsed="false">
      <c r="A28" s="5" t="s">
        <v>59</v>
      </c>
      <c r="B28" s="5" t="s">
        <v>67</v>
      </c>
      <c r="C28" s="13" t="s">
        <v>28</v>
      </c>
      <c r="D28" s="5" t="s">
        <v>68</v>
      </c>
    </row>
    <row r="29" customFormat="false" ht="15" hidden="false" customHeight="true" outlineLevel="0" collapsed="false">
      <c r="A29" s="5" t="s">
        <v>59</v>
      </c>
      <c r="B29" s="5" t="s">
        <v>69</v>
      </c>
      <c r="C29" s="14" t="s">
        <v>30</v>
      </c>
      <c r="D29" s="5" t="s">
        <v>70</v>
      </c>
    </row>
    <row r="30" customFormat="false" ht="15" hidden="false" customHeight="true" outlineLevel="0" collapsed="false">
      <c r="A30" s="5" t="s">
        <v>59</v>
      </c>
      <c r="B30" s="5" t="s">
        <v>71</v>
      </c>
      <c r="C30" s="14" t="s">
        <v>30</v>
      </c>
      <c r="D30" s="5" t="s">
        <v>72</v>
      </c>
    </row>
    <row r="31" customFormat="false" ht="15" hidden="false" customHeight="true" outlineLevel="0" collapsed="false">
      <c r="A31" s="5" t="s">
        <v>59</v>
      </c>
      <c r="B31" s="5" t="s">
        <v>73</v>
      </c>
      <c r="C31" s="14" t="s">
        <v>30</v>
      </c>
      <c r="D31" s="5" t="s">
        <v>74</v>
      </c>
    </row>
    <row r="32" customFormat="false" ht="15" hidden="false" customHeight="true" outlineLevel="0" collapsed="false">
      <c r="A32" s="5" t="s">
        <v>59</v>
      </c>
      <c r="B32" s="5" t="s">
        <v>75</v>
      </c>
      <c r="C32" s="13" t="s">
        <v>28</v>
      </c>
      <c r="D32" s="5" t="s">
        <v>76</v>
      </c>
    </row>
    <row r="33" customFormat="false" ht="15" hidden="false" customHeight="true" outlineLevel="0" collapsed="false">
      <c r="A33" s="5" t="s">
        <v>77</v>
      </c>
      <c r="B33" s="5" t="s">
        <v>78</v>
      </c>
      <c r="C33" s="13" t="s">
        <v>28</v>
      </c>
      <c r="D33" s="5"/>
    </row>
    <row r="34" customFormat="false" ht="15" hidden="false" customHeight="true" outlineLevel="0" collapsed="false">
      <c r="A34" s="5" t="s">
        <v>77</v>
      </c>
      <c r="B34" s="5" t="s">
        <v>79</v>
      </c>
      <c r="C34" s="14" t="s">
        <v>30</v>
      </c>
      <c r="D34" s="5" t="s">
        <v>80</v>
      </c>
    </row>
    <row r="35" customFormat="false" ht="15" hidden="false" customHeight="true" outlineLevel="0" collapsed="false">
      <c r="A35" s="5" t="s">
        <v>77</v>
      </c>
      <c r="B35" s="5" t="s">
        <v>81</v>
      </c>
      <c r="C35" s="13" t="s">
        <v>28</v>
      </c>
      <c r="D35" s="5"/>
    </row>
    <row r="36" customFormat="false" ht="15" hidden="false" customHeight="true" outlineLevel="0" collapsed="false">
      <c r="A36" s="5" t="s">
        <v>77</v>
      </c>
      <c r="B36" s="5" t="s">
        <v>82</v>
      </c>
      <c r="C36" s="13" t="s">
        <v>28</v>
      </c>
      <c r="D36" s="5"/>
    </row>
    <row r="37" customFormat="false" ht="15" hidden="false" customHeight="true" outlineLevel="0" collapsed="false">
      <c r="A37" s="5" t="s">
        <v>77</v>
      </c>
      <c r="B37" s="5" t="s">
        <v>83</v>
      </c>
      <c r="C37" s="13" t="s">
        <v>28</v>
      </c>
      <c r="D37" s="5"/>
    </row>
    <row r="38" customFormat="false" ht="15" hidden="false" customHeight="true" outlineLevel="0" collapsed="false">
      <c r="A38" s="5" t="s">
        <v>77</v>
      </c>
      <c r="B38" s="5" t="s">
        <v>84</v>
      </c>
      <c r="C38" s="13" t="s">
        <v>28</v>
      </c>
      <c r="D38" s="5"/>
    </row>
    <row r="39" customFormat="false" ht="15" hidden="false" customHeight="true" outlineLevel="0" collapsed="false">
      <c r="A39" s="5" t="s">
        <v>77</v>
      </c>
      <c r="B39" s="5" t="s">
        <v>85</v>
      </c>
      <c r="C39" s="13" t="s">
        <v>28</v>
      </c>
      <c r="D39" s="5"/>
    </row>
    <row r="40" customFormat="false" ht="15" hidden="false" customHeight="true" outlineLevel="0" collapsed="false">
      <c r="A40" s="5" t="s">
        <v>77</v>
      </c>
      <c r="B40" s="5" t="s">
        <v>86</v>
      </c>
      <c r="C40" s="13" t="s">
        <v>28</v>
      </c>
      <c r="D40" s="5"/>
    </row>
    <row r="41" customFormat="false" ht="15" hidden="false" customHeight="true" outlineLevel="0" collapsed="false">
      <c r="A41" s="5" t="s">
        <v>77</v>
      </c>
      <c r="B41" s="5" t="s">
        <v>87</v>
      </c>
      <c r="C41" s="13" t="s">
        <v>28</v>
      </c>
      <c r="D41" s="5"/>
    </row>
    <row r="42" customFormat="false" ht="15" hidden="false" customHeight="true" outlineLevel="0" collapsed="false">
      <c r="A42" s="5" t="s">
        <v>77</v>
      </c>
      <c r="B42" s="5" t="s">
        <v>88</v>
      </c>
      <c r="C42" s="13" t="s">
        <v>28</v>
      </c>
      <c r="D42" s="5" t="s">
        <v>89</v>
      </c>
    </row>
    <row r="43" customFormat="false" ht="15" hidden="false" customHeight="true" outlineLevel="0" collapsed="false">
      <c r="A43" s="5" t="s">
        <v>77</v>
      </c>
      <c r="B43" s="5" t="s">
        <v>90</v>
      </c>
      <c r="C43" s="15" t="s">
        <v>29</v>
      </c>
      <c r="D43" s="5" t="s">
        <v>91</v>
      </c>
    </row>
    <row r="44" customFormat="false" ht="15" hidden="false" customHeight="true" outlineLevel="0" collapsed="false">
      <c r="A44" s="5" t="s">
        <v>77</v>
      </c>
      <c r="B44" s="5" t="s">
        <v>92</v>
      </c>
      <c r="C44" s="14" t="s">
        <v>30</v>
      </c>
      <c r="D44" s="5"/>
    </row>
    <row r="45" customFormat="false" ht="15" hidden="false" customHeight="true" outlineLevel="0" collapsed="false">
      <c r="A45" s="5" t="s">
        <v>93</v>
      </c>
      <c r="B45" s="5" t="s">
        <v>94</v>
      </c>
      <c r="C45" s="13" t="s">
        <v>28</v>
      </c>
      <c r="D45" s="5" t="s">
        <v>95</v>
      </c>
    </row>
    <row r="46" customFormat="false" ht="15" hidden="false" customHeight="true" outlineLevel="0" collapsed="false">
      <c r="A46" s="5" t="s">
        <v>93</v>
      </c>
      <c r="B46" s="5" t="s">
        <v>96</v>
      </c>
      <c r="C46" s="13" t="s">
        <v>28</v>
      </c>
      <c r="D46" s="5"/>
    </row>
    <row r="47" customFormat="false" ht="15" hidden="false" customHeight="true" outlineLevel="0" collapsed="false">
      <c r="A47" s="5" t="s">
        <v>93</v>
      </c>
      <c r="B47" s="5" t="s">
        <v>97</v>
      </c>
      <c r="C47" s="13" t="s">
        <v>28</v>
      </c>
      <c r="D47" s="5" t="s">
        <v>98</v>
      </c>
    </row>
    <row r="48" customFormat="false" ht="15" hidden="false" customHeight="true" outlineLevel="0" collapsed="false">
      <c r="A48" s="5" t="s">
        <v>99</v>
      </c>
      <c r="B48" s="5" t="s">
        <v>100</v>
      </c>
      <c r="C48" s="13" t="s">
        <v>28</v>
      </c>
      <c r="D48" s="5"/>
    </row>
    <row r="49" customFormat="false" ht="15" hidden="false" customHeight="true" outlineLevel="0" collapsed="false">
      <c r="A49" s="5" t="s">
        <v>99</v>
      </c>
      <c r="B49" s="5" t="s">
        <v>101</v>
      </c>
      <c r="C49" s="13" t="s">
        <v>28</v>
      </c>
      <c r="D49" s="5"/>
    </row>
    <row r="50" customFormat="false" ht="15" hidden="false" customHeight="true" outlineLevel="0" collapsed="false">
      <c r="A50" s="5" t="s">
        <v>102</v>
      </c>
      <c r="B50" s="5" t="s">
        <v>103</v>
      </c>
      <c r="C50" s="13" t="s">
        <v>28</v>
      </c>
      <c r="D50" s="5"/>
    </row>
    <row r="51" customFormat="false" ht="15" hidden="false" customHeight="true" outlineLevel="0" collapsed="false">
      <c r="A51" s="5" t="s">
        <v>102</v>
      </c>
      <c r="B51" s="5" t="s">
        <v>104</v>
      </c>
      <c r="C51" s="13" t="s">
        <v>28</v>
      </c>
      <c r="D51" s="5"/>
    </row>
    <row r="52" customFormat="false" ht="15" hidden="false" customHeight="true" outlineLevel="0" collapsed="false">
      <c r="A52" s="5" t="s">
        <v>102</v>
      </c>
      <c r="B52" s="5" t="s">
        <v>105</v>
      </c>
      <c r="C52" s="14" t="s">
        <v>30</v>
      </c>
      <c r="D52" s="5" t="s">
        <v>106</v>
      </c>
    </row>
    <row r="53" customFormat="false" ht="15" hidden="false" customHeight="true" outlineLevel="0" collapsed="false">
      <c r="A53" s="5" t="s">
        <v>102</v>
      </c>
      <c r="B53" s="5" t="s">
        <v>107</v>
      </c>
      <c r="C53" s="14" t="s">
        <v>30</v>
      </c>
      <c r="D53" s="5" t="s">
        <v>108</v>
      </c>
    </row>
    <row r="54" customFormat="false" ht="15" hidden="false" customHeight="true" outlineLevel="0" collapsed="false">
      <c r="A54" s="5" t="s">
        <v>102</v>
      </c>
      <c r="B54" s="5" t="s">
        <v>109</v>
      </c>
      <c r="C54" s="14" t="s">
        <v>30</v>
      </c>
      <c r="D54" s="5"/>
    </row>
    <row r="55" customFormat="false" ht="23.25" hidden="false" customHeight="true" outlineLevel="0" collapsed="false">
      <c r="A55" s="5" t="s">
        <v>110</v>
      </c>
      <c r="B55" s="5" t="s">
        <v>111</v>
      </c>
      <c r="C55" s="15" t="s">
        <v>29</v>
      </c>
      <c r="D55" s="5" t="s">
        <v>112</v>
      </c>
    </row>
    <row r="56" customFormat="false" ht="15" hidden="false" customHeight="true" outlineLevel="0" collapsed="false">
      <c r="A56" s="5" t="s">
        <v>110</v>
      </c>
      <c r="B56" s="5" t="s">
        <v>113</v>
      </c>
      <c r="C56" s="14" t="s">
        <v>30</v>
      </c>
      <c r="D56" s="5"/>
    </row>
    <row r="57" customFormat="false" ht="23.25" hidden="false" customHeight="true" outlineLevel="0" collapsed="false">
      <c r="A57" s="5" t="s">
        <v>42</v>
      </c>
      <c r="B57" s="5" t="s">
        <v>114</v>
      </c>
      <c r="C57" s="14" t="s">
        <v>30</v>
      </c>
      <c r="D57" s="5" t="s">
        <v>115</v>
      </c>
    </row>
    <row r="58" customFormat="false" ht="15" hidden="false" customHeight="true" outlineLevel="0" collapsed="false">
      <c r="A58" s="5" t="s">
        <v>42</v>
      </c>
      <c r="B58" s="5" t="s">
        <v>116</v>
      </c>
      <c r="C58" s="14" t="s">
        <v>30</v>
      </c>
      <c r="D58" s="5" t="s">
        <v>117</v>
      </c>
    </row>
    <row r="59" customFormat="false" ht="23.25" hidden="false" customHeight="true" outlineLevel="0" collapsed="false">
      <c r="A59" s="5" t="s">
        <v>42</v>
      </c>
      <c r="B59" s="5" t="s">
        <v>118</v>
      </c>
      <c r="C59" s="16" t="s">
        <v>119</v>
      </c>
      <c r="D59" s="5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10"/>
    <col collapsed="false" customWidth="true" hidden="false" outlineLevel="0" max="4" min="4" style="1" width="60"/>
    <col collapsed="false" customWidth="true" hidden="false" outlineLevel="0" max="5" min="5" style="1" width="30"/>
  </cols>
  <sheetData>
    <row r="1" customFormat="false" ht="19.5" hidden="false" customHeight="true" outlineLevel="0" collapsed="false">
      <c r="A1" s="2" t="s">
        <v>7</v>
      </c>
    </row>
    <row r="2" customFormat="false" ht="15" hidden="false" customHeight="true" outlineLevel="0" collapsed="false">
      <c r="A2" s="3" t="s">
        <v>121</v>
      </c>
    </row>
    <row r="4" customFormat="false" ht="15" hidden="false" customHeight="true" outlineLevel="0" collapsed="false">
      <c r="A4" s="4" t="s">
        <v>122</v>
      </c>
      <c r="B4" s="4" t="s">
        <v>123</v>
      </c>
      <c r="C4" s="4" t="s">
        <v>124</v>
      </c>
      <c r="D4" s="4" t="s">
        <v>125</v>
      </c>
      <c r="E4" s="4" t="s">
        <v>126</v>
      </c>
    </row>
    <row r="5" customFormat="false" ht="30" hidden="false" customHeight="true" outlineLevel="0" collapsed="false">
      <c r="A5" s="5" t="s">
        <v>127</v>
      </c>
      <c r="B5" s="5" t="s">
        <v>128</v>
      </c>
      <c r="C5" s="5" t="s">
        <v>129</v>
      </c>
      <c r="D5" s="5" t="s">
        <v>130</v>
      </c>
      <c r="E5" s="5" t="s">
        <v>131</v>
      </c>
    </row>
    <row r="6" customFormat="false" ht="30" hidden="false" customHeight="true" outlineLevel="0" collapsed="false">
      <c r="A6" s="5" t="s">
        <v>132</v>
      </c>
      <c r="B6" s="5" t="s">
        <v>133</v>
      </c>
      <c r="C6" s="5" t="s">
        <v>129</v>
      </c>
      <c r="D6" s="5" t="s">
        <v>134</v>
      </c>
      <c r="E6" s="5" t="s">
        <v>135</v>
      </c>
    </row>
    <row r="7" customFormat="false" ht="30" hidden="false" customHeight="true" outlineLevel="0" collapsed="false">
      <c r="A7" s="5" t="s">
        <v>136</v>
      </c>
      <c r="B7" s="5" t="s">
        <v>137</v>
      </c>
      <c r="C7" s="5" t="s">
        <v>129</v>
      </c>
      <c r="D7" s="5" t="s">
        <v>138</v>
      </c>
      <c r="E7" s="5" t="s">
        <v>139</v>
      </c>
    </row>
    <row r="8" customFormat="false" ht="30" hidden="false" customHeight="true" outlineLevel="0" collapsed="false">
      <c r="A8" s="5" t="s">
        <v>140</v>
      </c>
      <c r="B8" s="5" t="s">
        <v>141</v>
      </c>
      <c r="C8" s="5" t="s">
        <v>129</v>
      </c>
      <c r="D8" s="5" t="s">
        <v>142</v>
      </c>
      <c r="E8" s="5" t="s">
        <v>143</v>
      </c>
    </row>
    <row r="9" customFormat="false" ht="30" hidden="false" customHeight="true" outlineLevel="0" collapsed="false">
      <c r="A9" s="5" t="s">
        <v>144</v>
      </c>
      <c r="B9" s="5" t="s">
        <v>145</v>
      </c>
      <c r="C9" s="5" t="s">
        <v>129</v>
      </c>
      <c r="D9" s="5" t="s">
        <v>146</v>
      </c>
      <c r="E9" s="5" t="s">
        <v>147</v>
      </c>
    </row>
    <row r="10" customFormat="false" ht="30" hidden="false" customHeight="true" outlineLevel="0" collapsed="false">
      <c r="A10" s="5" t="s">
        <v>148</v>
      </c>
      <c r="B10" s="5" t="s">
        <v>149</v>
      </c>
      <c r="C10" s="5" t="s">
        <v>129</v>
      </c>
      <c r="D10" s="5" t="s">
        <v>150</v>
      </c>
      <c r="E10" s="5" t="s">
        <v>151</v>
      </c>
    </row>
    <row r="12" customFormat="false" ht="15" hidden="false" customHeight="true" outlineLevel="0" collapsed="false">
      <c r="A12" s="3" t="s">
        <v>152</v>
      </c>
    </row>
    <row r="13" customFormat="false" ht="15" hidden="false" customHeight="true" outlineLevel="0" collapsed="false">
      <c r="A13" s="3" t="s">
        <v>153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50"/>
  </cols>
  <sheetData>
    <row r="1" customFormat="false" ht="19.5" hidden="false" customHeight="true" outlineLevel="0" collapsed="false">
      <c r="A1" s="2" t="s">
        <v>9</v>
      </c>
    </row>
    <row r="2" customFormat="false" ht="27.75" hidden="false" customHeight="true" outlineLevel="0" collapsed="false">
      <c r="A2" s="3" t="s">
        <v>154</v>
      </c>
    </row>
    <row r="4" customFormat="false" ht="15" hidden="false" customHeight="true" outlineLevel="0" collapsed="false">
      <c r="A4" s="4" t="s">
        <v>155</v>
      </c>
      <c r="B4" s="4" t="s">
        <v>156</v>
      </c>
      <c r="C4" s="4" t="s">
        <v>36</v>
      </c>
    </row>
    <row r="5" customFormat="false" ht="30" hidden="false" customHeight="true" outlineLevel="0" collapsed="false">
      <c r="A5" s="5" t="s">
        <v>157</v>
      </c>
      <c r="B5" s="5" t="s">
        <v>158</v>
      </c>
      <c r="C5" s="5" t="s">
        <v>159</v>
      </c>
    </row>
    <row r="6" customFormat="false" ht="30" hidden="false" customHeight="true" outlineLevel="0" collapsed="false">
      <c r="A6" s="5" t="s">
        <v>160</v>
      </c>
      <c r="B6" s="5" t="s">
        <v>161</v>
      </c>
      <c r="C6" s="5" t="s">
        <v>162</v>
      </c>
    </row>
    <row r="7" customFormat="false" ht="30" hidden="false" customHeight="true" outlineLevel="0" collapsed="false">
      <c r="A7" s="5" t="s">
        <v>163</v>
      </c>
      <c r="B7" s="5" t="s">
        <v>164</v>
      </c>
      <c r="C7" s="5" t="s">
        <v>165</v>
      </c>
    </row>
    <row r="8" customFormat="false" ht="30" hidden="false" customHeight="true" outlineLevel="0" collapsed="false">
      <c r="A8" s="5" t="s">
        <v>166</v>
      </c>
      <c r="B8" s="5" t="s">
        <v>167</v>
      </c>
      <c r="C8" s="5" t="s">
        <v>168</v>
      </c>
    </row>
    <row r="9" customFormat="false" ht="30" hidden="false" customHeight="true" outlineLevel="0" collapsed="false">
      <c r="A9" s="5" t="s">
        <v>169</v>
      </c>
      <c r="B9" s="5" t="s">
        <v>170</v>
      </c>
      <c r="C9" s="5" t="s">
        <v>171</v>
      </c>
    </row>
    <row r="10" customFormat="false" ht="30" hidden="false" customHeight="true" outlineLevel="0" collapsed="false">
      <c r="A10" s="5" t="s">
        <v>172</v>
      </c>
      <c r="B10" s="5" t="s">
        <v>173</v>
      </c>
      <c r="C10" s="5" t="s">
        <v>174</v>
      </c>
    </row>
    <row r="11" customFormat="false" ht="30" hidden="false" customHeight="true" outlineLevel="0" collapsed="false">
      <c r="A11" s="5" t="s">
        <v>175</v>
      </c>
      <c r="B11" s="5" t="s">
        <v>176</v>
      </c>
      <c r="C11" s="5" t="s">
        <v>177</v>
      </c>
    </row>
    <row r="12" customFormat="false" ht="30" hidden="false" customHeight="true" outlineLevel="0" collapsed="false">
      <c r="A12" s="5" t="s">
        <v>178</v>
      </c>
      <c r="B12" s="5" t="s">
        <v>179</v>
      </c>
      <c r="C12" s="5" t="s">
        <v>180</v>
      </c>
    </row>
    <row r="13" customFormat="false" ht="30" hidden="false" customHeight="true" outlineLevel="0" collapsed="false">
      <c r="A13" s="17" t="s">
        <v>181</v>
      </c>
      <c r="B13" s="17" t="s">
        <v>182</v>
      </c>
      <c r="C13" s="17" t="s">
        <v>183</v>
      </c>
    </row>
    <row r="14" customFormat="false" ht="30" hidden="false" customHeight="true" outlineLevel="0" collapsed="false">
      <c r="A14" s="17" t="s">
        <v>184</v>
      </c>
      <c r="B14" s="17" t="s">
        <v>185</v>
      </c>
      <c r="C14" s="17" t="s">
        <v>186</v>
      </c>
    </row>
    <row r="15" customFormat="false" ht="30" hidden="false" customHeight="true" outlineLevel="0" collapsed="false">
      <c r="A15" s="17" t="s">
        <v>46</v>
      </c>
      <c r="B15" s="17" t="s">
        <v>187</v>
      </c>
      <c r="C15" s="17" t="s">
        <v>188</v>
      </c>
    </row>
    <row r="17" customFormat="false" ht="15" hidden="false" customHeight="false" outlineLevel="0" collapsed="false">
      <c r="A17" s="18" t="s">
        <v>189</v>
      </c>
    </row>
    <row r="18" customFormat="false" ht="43.5" hidden="false" customHeight="true" outlineLevel="0" collapsed="false">
      <c r="A18" s="19" t="s">
        <v>190</v>
      </c>
      <c r="B18" s="19"/>
      <c r="C18" s="19"/>
    </row>
    <row r="19" customFormat="false" ht="15" hidden="false" customHeight="false" outlineLevel="0" collapsed="false">
      <c r="A19" s="20" t="s">
        <v>191</v>
      </c>
      <c r="B19" s="20" t="s">
        <v>192</v>
      </c>
      <c r="C19" s="20" t="s">
        <v>36</v>
      </c>
    </row>
    <row r="20" customFormat="false" ht="27.75" hidden="false" customHeight="true" outlineLevel="0" collapsed="false">
      <c r="A20" s="17" t="s">
        <v>193</v>
      </c>
      <c r="B20" s="17" t="n">
        <v>10</v>
      </c>
      <c r="C20" s="17" t="s">
        <v>194</v>
      </c>
    </row>
    <row r="21" customFormat="false" ht="27.75" hidden="false" customHeight="true" outlineLevel="0" collapsed="false">
      <c r="A21" s="17" t="s">
        <v>195</v>
      </c>
      <c r="B21" s="17" t="n">
        <v>5</v>
      </c>
      <c r="C21" s="17" t="s">
        <v>196</v>
      </c>
    </row>
    <row r="22" customFormat="false" ht="27.75" hidden="false" customHeight="true" outlineLevel="0" collapsed="false">
      <c r="A22" s="17" t="s">
        <v>197</v>
      </c>
      <c r="B22" s="17" t="n">
        <v>0</v>
      </c>
      <c r="C22" s="17" t="s">
        <v>198</v>
      </c>
    </row>
    <row r="23" customFormat="false" ht="27.75" hidden="false" customHeight="true" outlineLevel="0" collapsed="false">
      <c r="A23" s="17" t="s">
        <v>199</v>
      </c>
      <c r="B23" s="17" t="n">
        <v>100</v>
      </c>
      <c r="C23" s="17" t="s">
        <v>200</v>
      </c>
    </row>
    <row r="24" customFormat="false" ht="27.75" hidden="false" customHeight="true" outlineLevel="0" collapsed="false">
      <c r="A24" s="17" t="s">
        <v>201</v>
      </c>
      <c r="B24" s="17" t="n">
        <v>20</v>
      </c>
      <c r="C24" s="17" t="s">
        <v>202</v>
      </c>
    </row>
    <row r="25" customFormat="false" ht="27.75" hidden="false" customHeight="true" outlineLevel="0" collapsed="false">
      <c r="A25" s="17" t="s">
        <v>203</v>
      </c>
      <c r="B25" s="17" t="n">
        <v>4</v>
      </c>
      <c r="C25" s="17" t="s">
        <v>204</v>
      </c>
    </row>
    <row r="27" customFormat="false" ht="43.5" hidden="false" customHeight="true" outlineLevel="0" collapsed="false">
      <c r="A27" s="19" t="s">
        <v>205</v>
      </c>
      <c r="B27" s="19"/>
      <c r="C27" s="19"/>
    </row>
  </sheetData>
  <mergeCells count="2">
    <mergeCell ref="A18:C18"/>
    <mergeCell ref="A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60"/>
    <col collapsed="false" customWidth="true" hidden="false" outlineLevel="0" max="3" min="3" style="1" width="40"/>
  </cols>
  <sheetData>
    <row r="1" customFormat="false" ht="19.5" hidden="false" customHeight="true" outlineLevel="0" collapsed="false">
      <c r="A1" s="2" t="s">
        <v>11</v>
      </c>
    </row>
    <row r="2" customFormat="false" ht="15" hidden="false" customHeight="true" outlineLevel="0" collapsed="false">
      <c r="A2" s="3" t="s">
        <v>206</v>
      </c>
    </row>
    <row r="4" customFormat="false" ht="15" hidden="false" customHeight="true" outlineLevel="0" collapsed="false">
      <c r="A4" s="4" t="s">
        <v>207</v>
      </c>
      <c r="B4" s="4" t="s">
        <v>208</v>
      </c>
      <c r="C4" s="4" t="s">
        <v>35</v>
      </c>
    </row>
    <row r="5" customFormat="false" ht="15" hidden="false" customHeight="true" outlineLevel="0" collapsed="false">
      <c r="A5" s="5" t="s">
        <v>209</v>
      </c>
      <c r="B5" s="5" t="s">
        <v>210</v>
      </c>
      <c r="C5" s="5" t="s">
        <v>211</v>
      </c>
    </row>
    <row r="6" customFormat="false" ht="23.25" hidden="false" customHeight="true" outlineLevel="0" collapsed="false">
      <c r="A6" s="5" t="s">
        <v>212</v>
      </c>
      <c r="B6" s="5" t="s">
        <v>213</v>
      </c>
      <c r="C6" s="5" t="s">
        <v>214</v>
      </c>
    </row>
    <row r="7" customFormat="false" ht="15" hidden="false" customHeight="true" outlineLevel="0" collapsed="false">
      <c r="A7" s="5" t="s">
        <v>215</v>
      </c>
      <c r="B7" s="5" t="s">
        <v>216</v>
      </c>
      <c r="C7" s="5" t="s">
        <v>214</v>
      </c>
    </row>
    <row r="8" customFormat="false" ht="15" hidden="false" customHeight="true" outlineLevel="0" collapsed="false">
      <c r="A8" s="5" t="s">
        <v>217</v>
      </c>
      <c r="B8" s="5" t="s">
        <v>218</v>
      </c>
      <c r="C8" s="5" t="s">
        <v>214</v>
      </c>
    </row>
    <row r="9" customFormat="false" ht="15" hidden="false" customHeight="true" outlineLevel="0" collapsed="false">
      <c r="A9" s="5" t="s">
        <v>219</v>
      </c>
      <c r="B9" s="5" t="s">
        <v>220</v>
      </c>
      <c r="C9" s="5" t="s">
        <v>30</v>
      </c>
    </row>
    <row r="10" customFormat="false" ht="23.25" hidden="false" customHeight="true" outlineLevel="0" collapsed="false">
      <c r="A10" s="5" t="s">
        <v>221</v>
      </c>
      <c r="B10" s="5" t="s">
        <v>222</v>
      </c>
      <c r="C10" s="5" t="s">
        <v>30</v>
      </c>
    </row>
    <row r="11" customFormat="false" ht="15" hidden="false" customHeight="true" outlineLevel="0" collapsed="false">
      <c r="A11" s="5" t="s">
        <v>223</v>
      </c>
      <c r="B11" s="5" t="s">
        <v>224</v>
      </c>
      <c r="C11" s="5" t="s">
        <v>30</v>
      </c>
    </row>
    <row r="12" customFormat="false" ht="23.25" hidden="false" customHeight="true" outlineLevel="0" collapsed="false">
      <c r="A12" s="5" t="s">
        <v>225</v>
      </c>
      <c r="B12" s="5" t="s">
        <v>226</v>
      </c>
      <c r="C12" s="5" t="s">
        <v>227</v>
      </c>
    </row>
    <row r="13" customFormat="false" ht="23.25" hidden="false" customHeight="true" outlineLevel="0" collapsed="false">
      <c r="A13" s="5" t="s">
        <v>228</v>
      </c>
      <c r="B13" s="5" t="s">
        <v>229</v>
      </c>
      <c r="C13" s="5" t="s">
        <v>230</v>
      </c>
    </row>
    <row r="14" customFormat="false" ht="23.25" hidden="false" customHeight="true" outlineLevel="0" collapsed="false">
      <c r="A14" s="5" t="s">
        <v>231</v>
      </c>
      <c r="B14" s="5" t="s">
        <v>232</v>
      </c>
      <c r="C14" s="5" t="s">
        <v>233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4"/>
  </cols>
  <sheetData>
    <row r="1" customFormat="false" ht="19.5" hidden="false" customHeight="true" outlineLevel="0" collapsed="false">
      <c r="A1" s="2" t="s">
        <v>234</v>
      </c>
    </row>
    <row r="2" customFormat="false" ht="15" hidden="false" customHeight="true" outlineLevel="0" collapsed="false">
      <c r="A2" s="3" t="s">
        <v>235</v>
      </c>
    </row>
    <row r="4" customFormat="false" ht="15" hidden="false" customHeight="true" outlineLevel="0" collapsed="false">
      <c r="A4" s="21" t="s">
        <v>236</v>
      </c>
    </row>
    <row r="5" customFormat="false" ht="15" hidden="false" customHeight="true" outlineLevel="0" collapsed="false">
      <c r="A5" s="3" t="s">
        <v>237</v>
      </c>
    </row>
    <row r="6" customFormat="false" ht="15" hidden="false" customHeight="true" outlineLevel="0" collapsed="false">
      <c r="A6" s="5" t="s">
        <v>238</v>
      </c>
      <c r="B6" s="5" t="s">
        <v>239</v>
      </c>
    </row>
    <row r="7" customFormat="false" ht="15" hidden="false" customHeight="true" outlineLevel="0" collapsed="false">
      <c r="A7" s="5" t="s">
        <v>240</v>
      </c>
      <c r="B7" s="5" t="s">
        <v>241</v>
      </c>
    </row>
    <row r="8" customFormat="false" ht="15" hidden="false" customHeight="true" outlineLevel="0" collapsed="false">
      <c r="A8" s="5" t="s">
        <v>242</v>
      </c>
      <c r="B8" s="5" t="s">
        <v>243</v>
      </c>
    </row>
    <row r="10" customFormat="false" ht="15" hidden="false" customHeight="true" outlineLevel="0" collapsed="false">
      <c r="A10" s="6" t="s">
        <v>244</v>
      </c>
    </row>
    <row r="11" customFormat="false" ht="15" hidden="false" customHeight="true" outlineLevel="0" collapsed="false">
      <c r="A11" s="4" t="s">
        <v>245</v>
      </c>
      <c r="B11" s="4" t="s">
        <v>246</v>
      </c>
    </row>
    <row r="12" customFormat="false" ht="15" hidden="false" customHeight="true" outlineLevel="0" collapsed="false">
      <c r="A12" s="5" t="s">
        <v>247</v>
      </c>
      <c r="B12" s="5" t="n">
        <v>3</v>
      </c>
    </row>
    <row r="13" customFormat="false" ht="15" hidden="false" customHeight="true" outlineLevel="0" collapsed="false">
      <c r="A13" s="5" t="s">
        <v>248</v>
      </c>
      <c r="B13" s="5" t="n">
        <v>4</v>
      </c>
    </row>
    <row r="14" customFormat="false" ht="15" hidden="false" customHeight="true" outlineLevel="0" collapsed="false">
      <c r="A14" s="5" t="s">
        <v>249</v>
      </c>
      <c r="B14" s="5" t="n">
        <v>5</v>
      </c>
    </row>
    <row r="15" customFormat="false" ht="15" hidden="false" customHeight="true" outlineLevel="0" collapsed="false">
      <c r="A15" s="5" t="s">
        <v>250</v>
      </c>
      <c r="B15" s="5" t="n">
        <v>6</v>
      </c>
    </row>
    <row r="16" customFormat="false" ht="15" hidden="false" customHeight="true" outlineLevel="0" collapsed="false">
      <c r="A16" s="5" t="s">
        <v>251</v>
      </c>
      <c r="B16" s="5" t="n">
        <v>7</v>
      </c>
    </row>
    <row r="17" customFormat="false" ht="15" hidden="false" customHeight="true" outlineLevel="0" collapsed="false">
      <c r="A17" s="5" t="s">
        <v>252</v>
      </c>
      <c r="B17" s="5" t="n">
        <v>8</v>
      </c>
    </row>
    <row r="18" customFormat="false" ht="15" hidden="false" customHeight="true" outlineLevel="0" collapsed="false">
      <c r="A18" s="5" t="s">
        <v>253</v>
      </c>
      <c r="B18" s="5" t="n">
        <v>9</v>
      </c>
    </row>
    <row r="19" customFormat="false" ht="15" hidden="false" customHeight="true" outlineLevel="0" collapsed="false">
      <c r="A19" s="5" t="s">
        <v>254</v>
      </c>
      <c r="B19" s="5" t="n">
        <v>10</v>
      </c>
    </row>
    <row r="20" customFormat="false" ht="15" hidden="false" customHeight="true" outlineLevel="0" collapsed="false">
      <c r="A20" s="5" t="s">
        <v>255</v>
      </c>
      <c r="B20" s="5" t="n">
        <v>11</v>
      </c>
    </row>
    <row r="21" customFormat="false" ht="15" hidden="false" customHeight="true" outlineLevel="0" collapsed="false">
      <c r="A21" s="5" t="s">
        <v>256</v>
      </c>
      <c r="B21" s="5" t="n">
        <v>12</v>
      </c>
    </row>
    <row r="22" customFormat="false" ht="15" hidden="false" customHeight="true" outlineLevel="0" collapsed="false">
      <c r="A22" s="5" t="s">
        <v>257</v>
      </c>
      <c r="B22" s="5" t="n">
        <v>13</v>
      </c>
    </row>
    <row r="23" customFormat="false" ht="15" hidden="false" customHeight="true" outlineLevel="0" collapsed="false">
      <c r="A23" s="5" t="s">
        <v>258</v>
      </c>
      <c r="B23" s="5" t="n">
        <v>14</v>
      </c>
    </row>
    <row r="24" customFormat="false" ht="15" hidden="false" customHeight="true" outlineLevel="0" collapsed="false">
      <c r="A24" s="5" t="s">
        <v>259</v>
      </c>
      <c r="B24" s="5" t="n">
        <v>15</v>
      </c>
    </row>
    <row r="25" customFormat="false" ht="15" hidden="false" customHeight="true" outlineLevel="0" collapsed="false">
      <c r="A25" s="5" t="s">
        <v>260</v>
      </c>
      <c r="B25" s="5" t="n">
        <v>16</v>
      </c>
    </row>
    <row r="26" customFormat="false" ht="15" hidden="false" customHeight="true" outlineLevel="0" collapsed="false">
      <c r="A26" s="5" t="s">
        <v>261</v>
      </c>
      <c r="B26" s="5" t="n">
        <v>17</v>
      </c>
    </row>
    <row r="27" customFormat="false" ht="15" hidden="false" customHeight="true" outlineLevel="0" collapsed="false">
      <c r="A27" s="5" t="s">
        <v>262</v>
      </c>
      <c r="B27" s="5" t="n">
        <v>18</v>
      </c>
    </row>
    <row r="28" customFormat="false" ht="15" hidden="false" customHeight="true" outlineLevel="0" collapsed="false">
      <c r="A28" s="5" t="s">
        <v>263</v>
      </c>
      <c r="B28" s="5" t="n">
        <v>19</v>
      </c>
    </row>
    <row r="29" customFormat="false" ht="15" hidden="false" customHeight="true" outlineLevel="0" collapsed="false">
      <c r="A29" s="5" t="s">
        <v>264</v>
      </c>
      <c r="B29" s="5" t="n">
        <v>20</v>
      </c>
    </row>
    <row r="30" customFormat="false" ht="15" hidden="false" customHeight="true" outlineLevel="0" collapsed="false">
      <c r="A30" s="5" t="s">
        <v>265</v>
      </c>
      <c r="B30" s="5" t="n">
        <v>21</v>
      </c>
    </row>
    <row r="31" customFormat="false" ht="15" hidden="false" customHeight="true" outlineLevel="0" collapsed="false">
      <c r="A31" s="5" t="s">
        <v>266</v>
      </c>
      <c r="B31" s="5" t="n">
        <v>22</v>
      </c>
    </row>
    <row r="32" customFormat="false" ht="15" hidden="false" customHeight="true" outlineLevel="0" collapsed="false">
      <c r="A32" s="5" t="s">
        <v>267</v>
      </c>
      <c r="B32" s="5" t="n">
        <v>23</v>
      </c>
    </row>
    <row r="33" customFormat="false" ht="15" hidden="false" customHeight="true" outlineLevel="0" collapsed="false">
      <c r="A33" s="5" t="s">
        <v>268</v>
      </c>
      <c r="B33" s="5" t="n">
        <v>24</v>
      </c>
    </row>
    <row r="34" customFormat="false" ht="15" hidden="false" customHeight="true" outlineLevel="0" collapsed="false">
      <c r="A34" s="5" t="s">
        <v>269</v>
      </c>
      <c r="B34" s="5" t="n">
        <v>25</v>
      </c>
    </row>
    <row r="35" customFormat="false" ht="15" hidden="false" customHeight="true" outlineLevel="0" collapsed="false">
      <c r="A35" s="5" t="s">
        <v>270</v>
      </c>
      <c r="B35" s="5" t="n">
        <v>26</v>
      </c>
    </row>
    <row r="36" customFormat="false" ht="15" hidden="false" customHeight="true" outlineLevel="0" collapsed="false">
      <c r="A36" s="5" t="s">
        <v>271</v>
      </c>
      <c r="B36" s="5" t="n">
        <v>27</v>
      </c>
    </row>
    <row r="37" customFormat="false" ht="15" hidden="false" customHeight="true" outlineLevel="0" collapsed="false">
      <c r="A37" s="5" t="s">
        <v>272</v>
      </c>
      <c r="B37" s="5" t="n">
        <v>28</v>
      </c>
    </row>
    <row r="38" customFormat="false" ht="15" hidden="false" customHeight="true" outlineLevel="0" collapsed="false">
      <c r="A38" s="5" t="s">
        <v>273</v>
      </c>
      <c r="B38" s="5" t="n">
        <v>29</v>
      </c>
    </row>
    <row r="39" customFormat="false" ht="15" hidden="false" customHeight="true" outlineLevel="0" collapsed="false">
      <c r="A39" s="5" t="s">
        <v>274</v>
      </c>
      <c r="B39" s="5" t="n">
        <v>30</v>
      </c>
    </row>
    <row r="40" customFormat="false" ht="15" hidden="false" customHeight="true" outlineLevel="0" collapsed="false">
      <c r="A40" s="5" t="s">
        <v>275</v>
      </c>
      <c r="B40" s="5" t="n">
        <v>31</v>
      </c>
    </row>
    <row r="41" customFormat="false" ht="15" hidden="false" customHeight="true" outlineLevel="0" collapsed="false">
      <c r="A41" s="5" t="s">
        <v>276</v>
      </c>
      <c r="B41" s="5" t="n">
        <v>32</v>
      </c>
    </row>
    <row r="42" customFormat="false" ht="15" hidden="false" customHeight="true" outlineLevel="0" collapsed="false">
      <c r="A42" s="5" t="s">
        <v>277</v>
      </c>
      <c r="B42" s="5" t="n">
        <v>33</v>
      </c>
    </row>
    <row r="43" customFormat="false" ht="15" hidden="false" customHeight="true" outlineLevel="0" collapsed="false">
      <c r="A43" s="5" t="s">
        <v>278</v>
      </c>
      <c r="B43" s="5" t="n">
        <v>34</v>
      </c>
    </row>
    <row r="44" customFormat="false" ht="15" hidden="false" customHeight="true" outlineLevel="0" collapsed="false">
      <c r="A44" s="5" t="s">
        <v>279</v>
      </c>
      <c r="B44" s="5" t="n">
        <v>35</v>
      </c>
    </row>
    <row r="47" customFormat="false" ht="15" hidden="false" customHeight="true" outlineLevel="0" collapsed="false">
      <c r="A47" s="21" t="s">
        <v>280</v>
      </c>
    </row>
    <row r="48" customFormat="false" ht="15" hidden="false" customHeight="true" outlineLevel="0" collapsed="false">
      <c r="A48" s="3" t="s">
        <v>281</v>
      </c>
    </row>
    <row r="49" customFormat="false" ht="15" hidden="false" customHeight="true" outlineLevel="0" collapsed="false">
      <c r="A49" s="5" t="s">
        <v>282</v>
      </c>
      <c r="B49" s="5" t="s">
        <v>283</v>
      </c>
    </row>
    <row r="50" customFormat="false" ht="15" hidden="false" customHeight="true" outlineLevel="0" collapsed="false">
      <c r="A50" s="5" t="s">
        <v>284</v>
      </c>
      <c r="B50" s="5" t="s">
        <v>285</v>
      </c>
    </row>
    <row r="52" customFormat="false" ht="15" hidden="false" customHeight="true" outlineLevel="0" collapsed="false">
      <c r="A52" s="6" t="s">
        <v>286</v>
      </c>
    </row>
    <row r="53" customFormat="false" ht="15" hidden="false" customHeight="true" outlineLevel="0" collapsed="false">
      <c r="A53" s="4" t="s">
        <v>287</v>
      </c>
      <c r="B53" s="4" t="s">
        <v>288</v>
      </c>
    </row>
    <row r="54" customFormat="false" ht="15" hidden="false" customHeight="true" outlineLevel="0" collapsed="false">
      <c r="A54" s="5" t="s">
        <v>289</v>
      </c>
      <c r="B54" s="5" t="n">
        <v>2</v>
      </c>
    </row>
    <row r="55" customFormat="false" ht="15" hidden="false" customHeight="true" outlineLevel="0" collapsed="false">
      <c r="A55" s="5" t="s">
        <v>290</v>
      </c>
      <c r="B55" s="5" t="n">
        <v>3</v>
      </c>
    </row>
    <row r="56" customFormat="false" ht="15" hidden="false" customHeight="true" outlineLevel="0" collapsed="false">
      <c r="A56" s="5" t="s">
        <v>291</v>
      </c>
      <c r="B56" s="5" t="n">
        <v>4</v>
      </c>
    </row>
    <row r="57" customFormat="false" ht="15" hidden="false" customHeight="true" outlineLevel="0" collapsed="false">
      <c r="A57" s="5" t="s">
        <v>292</v>
      </c>
      <c r="B57" s="5" t="n">
        <v>5</v>
      </c>
    </row>
    <row r="58" customFormat="false" ht="15" hidden="false" customHeight="true" outlineLevel="0" collapsed="false">
      <c r="A58" s="5" t="s">
        <v>293</v>
      </c>
      <c r="B58" s="5" t="n">
        <v>6</v>
      </c>
    </row>
    <row r="59" customFormat="false" ht="15" hidden="false" customHeight="true" outlineLevel="0" collapsed="false">
      <c r="A59" s="5" t="s">
        <v>294</v>
      </c>
      <c r="B59" s="5" t="n">
        <v>7</v>
      </c>
    </row>
    <row r="60" customFormat="false" ht="15" hidden="false" customHeight="true" outlineLevel="0" collapsed="false">
      <c r="A60" s="5" t="s">
        <v>295</v>
      </c>
      <c r="B60" s="5" t="n">
        <v>8</v>
      </c>
    </row>
    <row r="61" customFormat="false" ht="15" hidden="false" customHeight="true" outlineLevel="0" collapsed="false">
      <c r="A61" s="5" t="s">
        <v>296</v>
      </c>
      <c r="B61" s="5" t="n">
        <v>9</v>
      </c>
    </row>
    <row r="62" customFormat="false" ht="15" hidden="false" customHeight="true" outlineLevel="0" collapsed="false">
      <c r="A62" s="5" t="s">
        <v>297</v>
      </c>
      <c r="B62" s="5" t="n">
        <v>10</v>
      </c>
    </row>
    <row r="63" customFormat="false" ht="15" hidden="false" customHeight="true" outlineLevel="0" collapsed="false">
      <c r="A63" s="5" t="s">
        <v>298</v>
      </c>
      <c r="B63" s="5" t="n">
        <v>11</v>
      </c>
    </row>
    <row r="64" customFormat="false" ht="15" hidden="false" customHeight="true" outlineLevel="0" collapsed="false">
      <c r="A64" s="5" t="s">
        <v>299</v>
      </c>
      <c r="B64" s="5" t="n">
        <v>16</v>
      </c>
    </row>
    <row r="65" customFormat="false" ht="15" hidden="false" customHeight="true" outlineLevel="0" collapsed="false">
      <c r="A65" s="5" t="s">
        <v>300</v>
      </c>
      <c r="B65" s="5" t="n">
        <v>20</v>
      </c>
    </row>
    <row r="66" customFormat="false" ht="15" hidden="false" customHeight="true" outlineLevel="0" collapsed="false">
      <c r="A66" s="5" t="s">
        <v>301</v>
      </c>
      <c r="B66" s="5" t="n">
        <v>24</v>
      </c>
    </row>
    <row r="67" customFormat="false" ht="15" hidden="false" customHeight="true" outlineLevel="0" collapsed="false">
      <c r="A67" s="5" t="s">
        <v>302</v>
      </c>
      <c r="B67" s="5" t="n">
        <v>28</v>
      </c>
    </row>
    <row r="68" customFormat="false" ht="15" hidden="false" customHeight="true" outlineLevel="0" collapsed="false">
      <c r="A68" s="5" t="s">
        <v>303</v>
      </c>
      <c r="B68" s="5" t="n">
        <v>32</v>
      </c>
    </row>
    <row r="69" customFormat="false" ht="15" hidden="false" customHeight="true" outlineLevel="0" collapsed="false">
      <c r="A69" s="5" t="s">
        <v>304</v>
      </c>
      <c r="B69" s="5" t="n">
        <v>36</v>
      </c>
    </row>
    <row r="72" customFormat="false" ht="15" hidden="false" customHeight="true" outlineLevel="0" collapsed="false">
      <c r="A72" s="3" t="s">
        <v>305</v>
      </c>
    </row>
    <row r="73" customFormat="false" ht="15" hidden="false" customHeight="true" outlineLevel="0" collapsed="false">
      <c r="A73" s="3" t="s">
        <v>306</v>
      </c>
    </row>
    <row r="75" customFormat="false" ht="135.8" hidden="false" customHeight="false" outlineLevel="0" collapsed="false">
      <c r="A75" s="22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3" min="2" style="1" width="12"/>
    <col collapsed="false" customWidth="true" hidden="false" outlineLevel="0" max="4" min="4" style="1" width="40"/>
  </cols>
  <sheetData>
    <row r="1" customFormat="false" ht="19.5" hidden="false" customHeight="true" outlineLevel="0" collapsed="false">
      <c r="A1" s="2" t="s">
        <v>15</v>
      </c>
    </row>
    <row r="3" customFormat="false" ht="15" hidden="false" customHeight="true" outlineLevel="0" collapsed="false">
      <c r="A3" s="4" t="s">
        <v>308</v>
      </c>
      <c r="B3" s="4" t="s">
        <v>309</v>
      </c>
      <c r="C3" s="4" t="s">
        <v>35</v>
      </c>
      <c r="D3" s="4" t="s">
        <v>36</v>
      </c>
    </row>
    <row r="4" customFormat="false" ht="15" hidden="false" customHeight="true" outlineLevel="0" collapsed="false">
      <c r="A4" s="5" t="s">
        <v>310</v>
      </c>
      <c r="B4" s="5" t="s">
        <v>311</v>
      </c>
      <c r="C4" s="13" t="s">
        <v>28</v>
      </c>
      <c r="D4" s="5" t="s">
        <v>312</v>
      </c>
    </row>
    <row r="5" customFormat="false" ht="15" hidden="false" customHeight="true" outlineLevel="0" collapsed="false">
      <c r="A5" s="5" t="s">
        <v>313</v>
      </c>
      <c r="B5" s="5" t="s">
        <v>311</v>
      </c>
      <c r="C5" s="13" t="s">
        <v>28</v>
      </c>
      <c r="D5" s="5"/>
    </row>
    <row r="6" customFormat="false" ht="15" hidden="false" customHeight="true" outlineLevel="0" collapsed="false">
      <c r="A6" s="5" t="s">
        <v>314</v>
      </c>
      <c r="B6" s="5" t="s">
        <v>311</v>
      </c>
      <c r="C6" s="13" t="s">
        <v>28</v>
      </c>
      <c r="D6" s="5"/>
    </row>
    <row r="7" customFormat="false" ht="15" hidden="false" customHeight="true" outlineLevel="0" collapsed="false">
      <c r="A7" s="5" t="s">
        <v>315</v>
      </c>
      <c r="B7" s="5" t="s">
        <v>311</v>
      </c>
      <c r="C7" s="13" t="s">
        <v>28</v>
      </c>
      <c r="D7" s="5"/>
    </row>
    <row r="8" customFormat="false" ht="15" hidden="false" customHeight="true" outlineLevel="0" collapsed="false">
      <c r="A8" s="5" t="s">
        <v>316</v>
      </c>
      <c r="B8" s="5" t="s">
        <v>311</v>
      </c>
      <c r="C8" s="13" t="s">
        <v>28</v>
      </c>
      <c r="D8" s="5"/>
    </row>
    <row r="9" customFormat="false" ht="15" hidden="false" customHeight="true" outlineLevel="0" collapsed="false">
      <c r="A9" s="5" t="s">
        <v>317</v>
      </c>
      <c r="B9" s="5" t="s">
        <v>311</v>
      </c>
      <c r="C9" s="13" t="s">
        <v>28</v>
      </c>
      <c r="D9" s="5"/>
    </row>
    <row r="10" customFormat="false" ht="15" hidden="false" customHeight="true" outlineLevel="0" collapsed="false">
      <c r="A10" s="5" t="s">
        <v>318</v>
      </c>
      <c r="B10" s="5" t="s">
        <v>319</v>
      </c>
      <c r="C10" s="14" t="s">
        <v>30</v>
      </c>
      <c r="D10" s="5" t="s">
        <v>320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"/>
    <col collapsed="false" customWidth="true" hidden="false" outlineLevel="0" max="3" min="3" style="1" width="60"/>
  </cols>
  <sheetData>
    <row r="1" customFormat="false" ht="19.5" hidden="false" customHeight="true" outlineLevel="0" collapsed="false">
      <c r="A1" s="2" t="s">
        <v>17</v>
      </c>
    </row>
    <row r="3" customFormat="false" ht="15" hidden="false" customHeight="true" outlineLevel="0" collapsed="false">
      <c r="A3" s="4" t="s">
        <v>321</v>
      </c>
      <c r="B3" s="4" t="s">
        <v>322</v>
      </c>
      <c r="C3" s="4" t="s">
        <v>36</v>
      </c>
    </row>
    <row r="4" customFormat="false" ht="15" hidden="false" customHeight="true" outlineLevel="0" collapsed="false">
      <c r="A4" s="5" t="s">
        <v>323</v>
      </c>
      <c r="B4" s="5" t="s">
        <v>324</v>
      </c>
      <c r="C4" s="5" t="s">
        <v>325</v>
      </c>
    </row>
    <row r="5" customFormat="false" ht="15" hidden="false" customHeight="true" outlineLevel="0" collapsed="false">
      <c r="A5" s="5" t="s">
        <v>326</v>
      </c>
      <c r="B5" s="5" t="s">
        <v>324</v>
      </c>
      <c r="C5" s="5"/>
    </row>
    <row r="6" customFormat="false" ht="15" hidden="false" customHeight="true" outlineLevel="0" collapsed="false">
      <c r="A6" s="5" t="s">
        <v>327</v>
      </c>
      <c r="B6" s="5" t="s">
        <v>324</v>
      </c>
      <c r="C6" s="5"/>
    </row>
    <row r="7" customFormat="false" ht="15" hidden="false" customHeight="true" outlineLevel="0" collapsed="false">
      <c r="A7" s="5" t="s">
        <v>328</v>
      </c>
      <c r="B7" s="5" t="s">
        <v>324</v>
      </c>
      <c r="C7" s="5" t="s">
        <v>329</v>
      </c>
    </row>
    <row r="8" customFormat="false" ht="15" hidden="false" customHeight="true" outlineLevel="0" collapsed="false">
      <c r="A8" s="5" t="s">
        <v>330</v>
      </c>
      <c r="B8" s="5" t="s">
        <v>324</v>
      </c>
      <c r="C8" s="5"/>
    </row>
    <row r="9" customFormat="false" ht="15" hidden="false" customHeight="true" outlineLevel="0" collapsed="false">
      <c r="A9" s="5" t="s">
        <v>331</v>
      </c>
      <c r="B9" s="5" t="s">
        <v>324</v>
      </c>
      <c r="C9" s="5"/>
    </row>
    <row r="10" customFormat="false" ht="15" hidden="false" customHeight="true" outlineLevel="0" collapsed="false">
      <c r="A10" s="5" t="s">
        <v>332</v>
      </c>
      <c r="B10" s="5" t="s">
        <v>324</v>
      </c>
      <c r="C10" s="5"/>
    </row>
    <row r="11" customFormat="false" ht="23.25" hidden="false" customHeight="true" outlineLevel="0" collapsed="false">
      <c r="A11" s="5" t="s">
        <v>333</v>
      </c>
      <c r="B11" s="5" t="s">
        <v>334</v>
      </c>
      <c r="C11" s="5" t="s">
        <v>335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2"/>
    <col collapsed="false" customWidth="true" hidden="false" outlineLevel="0" max="3" min="3" style="1" width="14"/>
    <col collapsed="false" customWidth="true" hidden="false" outlineLevel="0" max="4" min="4" style="1" width="9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12" min="7" style="1" width="6"/>
    <col collapsed="false" customWidth="true" hidden="false" outlineLevel="0" max="13" min="13" style="1" width="34"/>
  </cols>
  <sheetData>
    <row r="1" customFormat="false" ht="19.5" hidden="false" customHeight="true" outlineLevel="0" collapsed="false">
      <c r="A1" s="2" t="s">
        <v>336</v>
      </c>
    </row>
    <row r="2" customFormat="false" ht="15" hidden="false" customHeight="true" outlineLevel="0" collapsed="false">
      <c r="A2" s="3" t="s">
        <v>337</v>
      </c>
    </row>
    <row r="4" customFormat="false" ht="26.25" hidden="false" customHeight="true" outlineLevel="0" collapsed="false">
      <c r="A4" s="4" t="s">
        <v>338</v>
      </c>
      <c r="B4" s="4" t="s">
        <v>339</v>
      </c>
      <c r="C4" s="4" t="s">
        <v>340</v>
      </c>
      <c r="D4" s="4" t="s">
        <v>341</v>
      </c>
      <c r="E4" s="4" t="s">
        <v>342</v>
      </c>
      <c r="F4" s="4" t="s">
        <v>343</v>
      </c>
      <c r="G4" s="4" t="s">
        <v>128</v>
      </c>
      <c r="H4" s="4" t="s">
        <v>133</v>
      </c>
      <c r="I4" s="4" t="s">
        <v>137</v>
      </c>
      <c r="J4" s="4" t="s">
        <v>141</v>
      </c>
      <c r="K4" s="4" t="s">
        <v>145</v>
      </c>
      <c r="L4" s="4" t="s">
        <v>149</v>
      </c>
      <c r="M4" s="4" t="s">
        <v>208</v>
      </c>
    </row>
    <row r="5" customFormat="false" ht="15" hidden="false" customHeight="true" outlineLevel="0" collapsed="false">
      <c r="A5" s="23" t="s">
        <v>344</v>
      </c>
      <c r="B5" s="23" t="s">
        <v>345</v>
      </c>
      <c r="C5" s="23" t="s">
        <v>346</v>
      </c>
      <c r="D5" s="23" t="n">
        <v>3.5</v>
      </c>
      <c r="E5" s="23" t="n">
        <v>1</v>
      </c>
      <c r="F5" s="23" t="s">
        <v>310</v>
      </c>
      <c r="G5" s="23" t="n">
        <v>5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s">
        <v>347</v>
      </c>
    </row>
    <row r="6" customFormat="false" ht="15" hidden="false" customHeight="true" outlineLevel="0" collapsed="false">
      <c r="A6" s="5" t="s">
        <v>348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</row>
    <row r="7" customFormat="false" ht="15" hidden="false" customHeight="true" outlineLevel="0" collapsed="false">
      <c r="A7" s="5" t="s">
        <v>349</v>
      </c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</row>
    <row r="8" customFormat="false" ht="15" hidden="false" customHeight="true" outlineLevel="0" collapsed="false">
      <c r="A8" s="5" t="s">
        <v>350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</row>
    <row r="9" customFormat="false" ht="15" hidden="false" customHeight="true" outlineLevel="0" collapsed="false">
      <c r="A9" s="5" t="s">
        <v>351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</row>
    <row r="10" customFormat="false" ht="15" hidden="false" customHeight="true" outlineLevel="0" collapsed="false">
      <c r="A10" s="5" t="s">
        <v>352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</row>
    <row r="11" customFormat="false" ht="15" hidden="false" customHeight="true" outlineLevel="0" collapsed="false">
      <c r="A11" s="5" t="s">
        <v>353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</row>
    <row r="12" customFormat="false" ht="15" hidden="false" customHeight="true" outlineLevel="0" collapsed="false">
      <c r="A12" s="5" t="s">
        <v>354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</row>
    <row r="13" customFormat="false" ht="15" hidden="false" customHeight="true" outlineLevel="0" collapsed="false">
      <c r="A13" s="5" t="s">
        <v>355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</row>
    <row r="14" customFormat="false" ht="15" hidden="false" customHeight="true" outlineLevel="0" collapsed="false">
      <c r="A14" s="5" t="s">
        <v>356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</row>
    <row r="15" customFormat="false" ht="15" hidden="false" customHeight="true" outlineLevel="0" collapsed="false">
      <c r="A15" s="5" t="s">
        <v>357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3" min="2" style="1" width="10"/>
    <col collapsed="false" customWidth="true" hidden="false" outlineLevel="0" max="5" min="4" style="1" width="8"/>
    <col collapsed="false" customWidth="true" hidden="false" outlineLevel="0" max="7" min="6" style="1" width="12"/>
    <col collapsed="false" customWidth="true" hidden="false" outlineLevel="0" max="8" min="8" style="1" width="14"/>
    <col collapsed="false" customWidth="true" hidden="false" outlineLevel="0" max="11" min="9" style="1" width="12"/>
  </cols>
  <sheetData>
    <row r="1" customFormat="false" ht="19.5" hidden="false" customHeight="true" outlineLevel="0" collapsed="false">
      <c r="A1" s="2" t="s">
        <v>358</v>
      </c>
    </row>
    <row r="2" customFormat="false" ht="15" hidden="false" customHeight="true" outlineLevel="0" collapsed="false">
      <c r="A2" s="3" t="s">
        <v>359</v>
      </c>
    </row>
    <row r="4" customFormat="false" ht="26.25" hidden="false" customHeight="true" outlineLevel="0" collapsed="false">
      <c r="A4" s="4" t="s">
        <v>360</v>
      </c>
      <c r="B4" s="4" t="s">
        <v>361</v>
      </c>
      <c r="C4" s="4" t="s">
        <v>362</v>
      </c>
      <c r="D4" s="4" t="s">
        <v>363</v>
      </c>
      <c r="E4" s="4" t="s">
        <v>364</v>
      </c>
      <c r="F4" s="4" t="s">
        <v>203</v>
      </c>
      <c r="G4" s="4" t="s">
        <v>365</v>
      </c>
      <c r="H4" s="4" t="s">
        <v>366</v>
      </c>
      <c r="I4" s="4" t="s">
        <v>367</v>
      </c>
      <c r="J4" s="4" t="s">
        <v>368</v>
      </c>
      <c r="K4" s="4" t="s">
        <v>209</v>
      </c>
    </row>
    <row r="5" customFormat="false" ht="15" hidden="false" customHeight="true" outlineLevel="0" collapsed="false">
      <c r="A5" s="23" t="s">
        <v>369</v>
      </c>
      <c r="B5" s="23" t="n">
        <v>30</v>
      </c>
      <c r="C5" s="23" t="n">
        <v>0</v>
      </c>
      <c r="D5" s="23" t="n">
        <v>5</v>
      </c>
      <c r="E5" s="23" t="n">
        <v>1</v>
      </c>
      <c r="F5" s="23" t="n">
        <v>2</v>
      </c>
      <c r="G5" s="23" t="n">
        <v>10</v>
      </c>
      <c r="H5" s="23" t="n">
        <v>5</v>
      </c>
      <c r="I5" s="23" t="n">
        <v>5</v>
      </c>
      <c r="J5" s="23" t="n">
        <v>10</v>
      </c>
      <c r="K5" s="23" t="n">
        <v>1.5</v>
      </c>
    </row>
    <row r="6" customFormat="false" ht="15" hidden="false" customHeight="true" outlineLevel="0" collapsed="false">
      <c r="A6" s="5"/>
      <c r="B6" s="5"/>
      <c r="C6" s="5"/>
      <c r="D6" s="5"/>
      <c r="E6" s="5"/>
      <c r="F6" s="5"/>
      <c r="G6" s="5"/>
      <c r="H6" s="5"/>
      <c r="I6" s="5"/>
      <c r="J6" s="5"/>
      <c r="K6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5" min="3" style="1" width="12"/>
    <col collapsed="false" customWidth="true" hidden="false" outlineLevel="0" max="6" min="6" style="1" width="14"/>
    <col collapsed="false" customWidth="true" hidden="false" outlineLevel="0" max="7" min="7" style="1" width="30"/>
    <col collapsed="false" customWidth="true" hidden="false" outlineLevel="0" max="8" min="8" style="1" width="40"/>
  </cols>
  <sheetData>
    <row r="1" customFormat="false" ht="19.5" hidden="false" customHeight="true" outlineLevel="0" collapsed="false">
      <c r="A1" s="2" t="s">
        <v>370</v>
      </c>
    </row>
    <row r="2" customFormat="false" ht="15" hidden="false" customHeight="true" outlineLevel="0" collapsed="false">
      <c r="A2" s="3" t="s">
        <v>371</v>
      </c>
    </row>
    <row r="4" customFormat="false" ht="26.25" hidden="false" customHeight="true" outlineLevel="0" collapsed="false">
      <c r="A4" s="4" t="s">
        <v>372</v>
      </c>
      <c r="B4" s="4" t="s">
        <v>373</v>
      </c>
      <c r="C4" s="4" t="s">
        <v>374</v>
      </c>
      <c r="D4" s="4" t="s">
        <v>375</v>
      </c>
      <c r="E4" s="4" t="s">
        <v>376</v>
      </c>
      <c r="F4" s="4" t="s">
        <v>377</v>
      </c>
      <c r="G4" s="4" t="s">
        <v>124</v>
      </c>
      <c r="H4" s="4" t="s">
        <v>36</v>
      </c>
    </row>
    <row r="5" customFormat="false" ht="15" hidden="false" customHeight="true" outlineLevel="0" collapsed="false">
      <c r="A5" s="5" t="s">
        <v>378</v>
      </c>
      <c r="B5" s="5" t="s">
        <v>379</v>
      </c>
      <c r="C5" s="5" t="s">
        <v>380</v>
      </c>
      <c r="D5" s="5" t="s">
        <v>381</v>
      </c>
      <c r="E5" s="5" t="s">
        <v>382</v>
      </c>
      <c r="F5" s="5" t="s">
        <v>383</v>
      </c>
      <c r="G5" s="5" t="s">
        <v>384</v>
      </c>
      <c r="H5" s="5" t="s">
        <v>385</v>
      </c>
    </row>
    <row r="6" customFormat="false" ht="23.25" hidden="false" customHeight="true" outlineLevel="0" collapsed="false">
      <c r="A6" s="5" t="s">
        <v>386</v>
      </c>
      <c r="B6" s="5" t="s">
        <v>315</v>
      </c>
      <c r="C6" s="5" t="s">
        <v>380</v>
      </c>
      <c r="D6" s="5" t="s">
        <v>387</v>
      </c>
      <c r="E6" s="5" t="s">
        <v>382</v>
      </c>
      <c r="F6" s="5" t="s">
        <v>388</v>
      </c>
      <c r="G6" s="5" t="s">
        <v>384</v>
      </c>
      <c r="H6" s="5" t="s">
        <v>389</v>
      </c>
    </row>
    <row r="7" customFormat="false" ht="15" hidden="false" customHeight="true" outlineLevel="0" collapsed="false">
      <c r="A7" s="5" t="s">
        <v>390</v>
      </c>
      <c r="B7" s="5" t="s">
        <v>310</v>
      </c>
      <c r="C7" s="5" t="s">
        <v>391</v>
      </c>
      <c r="D7" s="5" t="s">
        <v>392</v>
      </c>
      <c r="E7" s="5" t="s">
        <v>393</v>
      </c>
      <c r="F7" s="5" t="s">
        <v>382</v>
      </c>
      <c r="G7" s="5" t="s">
        <v>394</v>
      </c>
      <c r="H7" s="5"/>
    </row>
    <row r="8" customFormat="false" ht="23.25" hidden="false" customHeight="true" outlineLevel="0" collapsed="false">
      <c r="A8" s="5" t="s">
        <v>395</v>
      </c>
      <c r="B8" s="5" t="s">
        <v>313</v>
      </c>
      <c r="C8" s="5" t="s">
        <v>391</v>
      </c>
      <c r="D8" s="5" t="s">
        <v>392</v>
      </c>
      <c r="E8" s="5" t="s">
        <v>393</v>
      </c>
      <c r="F8" s="5" t="s">
        <v>382</v>
      </c>
      <c r="G8" s="5" t="s">
        <v>396</v>
      </c>
      <c r="H8" s="5" t="s">
        <v>397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44"/>
    <col collapsed="false" customWidth="true" hidden="false" outlineLevel="0" max="3" min="3" style="1" width="14"/>
  </cols>
  <sheetData>
    <row r="1" customFormat="false" ht="19.5" hidden="false" customHeight="true" outlineLevel="0" collapsed="false">
      <c r="A1" s="2" t="s">
        <v>25</v>
      </c>
    </row>
    <row r="3" customFormat="false" ht="15" hidden="false" customHeight="true" outlineLevel="0" collapsed="false">
      <c r="A3" s="4" t="s">
        <v>398</v>
      </c>
      <c r="B3" s="4" t="s">
        <v>399</v>
      </c>
      <c r="C3" s="4" t="s">
        <v>400</v>
      </c>
    </row>
    <row r="4" customFormat="false" ht="15" hidden="false" customHeight="true" outlineLevel="0" collapsed="false">
      <c r="A4" s="5" t="n">
        <v>1</v>
      </c>
      <c r="B4" s="5" t="s">
        <v>105</v>
      </c>
      <c r="C4" s="5" t="s">
        <v>401</v>
      </c>
    </row>
    <row r="5" customFormat="false" ht="23.25" hidden="false" customHeight="true" outlineLevel="0" collapsed="false">
      <c r="A5" s="5" t="n">
        <v>2</v>
      </c>
      <c r="B5" s="5" t="s">
        <v>402</v>
      </c>
      <c r="C5" s="5" t="s">
        <v>401</v>
      </c>
    </row>
    <row r="6" customFormat="false" ht="15" hidden="false" customHeight="true" outlineLevel="0" collapsed="false">
      <c r="A6" s="5" t="n">
        <v>3</v>
      </c>
      <c r="B6" s="5" t="s">
        <v>69</v>
      </c>
      <c r="C6" s="5" t="s">
        <v>403</v>
      </c>
    </row>
    <row r="7" customFormat="false" ht="15" hidden="false" customHeight="true" outlineLevel="0" collapsed="false">
      <c r="A7" s="5" t="n">
        <v>4</v>
      </c>
      <c r="B7" s="5" t="s">
        <v>71</v>
      </c>
      <c r="C7" s="5" t="s">
        <v>403</v>
      </c>
    </row>
    <row r="8" customFormat="false" ht="15" hidden="false" customHeight="true" outlineLevel="0" collapsed="false">
      <c r="A8" s="5" t="n">
        <v>5</v>
      </c>
      <c r="B8" s="5" t="s">
        <v>73</v>
      </c>
      <c r="C8" s="5" t="s">
        <v>403</v>
      </c>
    </row>
    <row r="9" customFormat="false" ht="15" hidden="false" customHeight="true" outlineLevel="0" collapsed="false">
      <c r="A9" s="5" t="n">
        <v>6</v>
      </c>
      <c r="B9" s="5" t="s">
        <v>113</v>
      </c>
      <c r="C9" s="5" t="s">
        <v>403</v>
      </c>
    </row>
    <row r="10" customFormat="false" ht="15" hidden="false" customHeight="true" outlineLevel="0" collapsed="false">
      <c r="A10" s="5" t="n">
        <v>7</v>
      </c>
      <c r="B10" s="5" t="s">
        <v>404</v>
      </c>
      <c r="C10" s="5" t="s">
        <v>403</v>
      </c>
    </row>
    <row r="11" customFormat="false" ht="15" hidden="false" customHeight="true" outlineLevel="0" collapsed="false">
      <c r="A11" s="5" t="n">
        <v>8</v>
      </c>
      <c r="B11" s="5" t="s">
        <v>58</v>
      </c>
      <c r="C11" s="5" t="s">
        <v>403</v>
      </c>
    </row>
    <row r="12" customFormat="false" ht="15" hidden="false" customHeight="true" outlineLevel="0" collapsed="false">
      <c r="A12" s="5" t="n">
        <v>9</v>
      </c>
      <c r="B12" s="5" t="s">
        <v>79</v>
      </c>
      <c r="C12" s="5" t="s">
        <v>403</v>
      </c>
    </row>
    <row r="13" customFormat="false" ht="15" hidden="false" customHeight="true" outlineLevel="0" collapsed="false">
      <c r="A13" s="5" t="n">
        <v>10</v>
      </c>
      <c r="B13" s="5" t="s">
        <v>405</v>
      </c>
      <c r="C13" s="5" t="s">
        <v>406</v>
      </c>
    </row>
    <row r="14" customFormat="false" ht="15" hidden="false" customHeight="true" outlineLevel="0" collapsed="false">
      <c r="A14" s="5" t="n">
        <v>11</v>
      </c>
      <c r="B14" s="5" t="s">
        <v>407</v>
      </c>
      <c r="C14" s="5" t="s">
        <v>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2026-07-25T06:55:13Z</dcterms:created>
  <dc:creator>openpyxl</dc:creator>
  <dc:description/>
  <dc:language>en-US</dc:language>
  <cp:lastModifiedBy/>
  <dcterms:modified xsi:type="dcterms:W3CDTF">2026-09-07T17:10:16Z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